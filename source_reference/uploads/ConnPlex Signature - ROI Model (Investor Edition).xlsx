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SUS\Downloads\"/>
    </mc:Choice>
  </mc:AlternateContent>
  <bookViews>
    <workbookView xWindow="0" yWindow="0" windowWidth="16380" windowHeight="8194" tabRatio="500" activeTab="3"/>
  </bookViews>
  <sheets>
    <sheet name="Dashboard" sheetId="1" r:id="rId1"/>
    <sheet name="ROI Calculation" sheetId="2" r:id="rId2"/>
    <sheet name="Investment" sheetId="3" r:id="rId3"/>
    <sheet name="Assumptions &amp; Sources" sheetId="4" r:id="rId4"/>
  </sheets>
  <definedNames>
    <definedName name="_xlnm.Print_Area" localSheetId="3">'Assumptions &amp; Sources'!$B$1:$E$40</definedName>
    <definedName name="_xlnm.Print_Area" localSheetId="0">Dashboard!$B$1:$M$70</definedName>
    <definedName name="_xlnm.Print_Area" localSheetId="2">Investment!$B$1:$H$24</definedName>
    <definedName name="_xlnm.Print_Area" localSheetId="1">'ROI Calculation'!$B$1:$L$52</definedName>
  </definedNames>
  <calcPr calcId="162913"/>
  <extLs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E13" i="3" l="1"/>
  <c r="C39" i="1" s="1"/>
  <c r="E12" i="3"/>
  <c r="E14" i="3" s="1"/>
  <c r="E11" i="3"/>
  <c r="E10" i="3"/>
  <c r="E9" i="3"/>
  <c r="E8" i="3"/>
  <c r="J39" i="2"/>
  <c r="J38" i="2"/>
  <c r="J37" i="2"/>
  <c r="J36" i="2"/>
  <c r="J35" i="2"/>
  <c r="J34" i="2"/>
  <c r="J33" i="2"/>
  <c r="J32" i="2"/>
  <c r="J31" i="2"/>
  <c r="J30" i="2"/>
  <c r="J29" i="2"/>
  <c r="D29" i="2"/>
  <c r="K20" i="2"/>
  <c r="K21" i="2" s="1"/>
  <c r="K22" i="2" s="1"/>
  <c r="K19" i="2"/>
  <c r="D19" i="2"/>
  <c r="E19" i="2" s="1"/>
  <c r="C9" i="2"/>
  <c r="F9" i="2" s="1"/>
  <c r="H9" i="2" s="1"/>
  <c r="J9" i="2" s="1"/>
  <c r="K9" i="2" s="1"/>
  <c r="F8" i="2"/>
  <c r="F10" i="2" s="1"/>
  <c r="C41" i="1"/>
  <c r="I47" i="2" l="1"/>
  <c r="J47" i="2" s="1"/>
  <c r="C17" i="1"/>
  <c r="E15" i="3"/>
  <c r="C40" i="1" s="1"/>
  <c r="C38" i="1"/>
  <c r="H8" i="2"/>
  <c r="E18" i="3" l="1"/>
  <c r="H10" i="2"/>
  <c r="C20" i="2" s="1"/>
  <c r="E20" i="2" s="1"/>
  <c r="E21" i="2" s="1"/>
  <c r="G10" i="2"/>
  <c r="J8" i="2"/>
  <c r="K8" i="2" l="1"/>
  <c r="K10" i="2" s="1"/>
  <c r="J10" i="2"/>
  <c r="J9" i="1"/>
  <c r="D30" i="2"/>
  <c r="E23" i="2"/>
  <c r="E22" i="2"/>
  <c r="E24" i="2" s="1"/>
  <c r="E25" i="2" s="1"/>
  <c r="D39" i="2"/>
  <c r="B9" i="1"/>
  <c r="I46" i="2" l="1"/>
  <c r="J46" i="2" s="1"/>
  <c r="C16" i="1"/>
  <c r="D31" i="2"/>
  <c r="J11" i="2"/>
  <c r="J12" i="2" s="1"/>
  <c r="K12" i="2" s="1"/>
  <c r="J13" i="2" l="1"/>
  <c r="J14" i="2" s="1"/>
  <c r="J15" i="2" s="1"/>
  <c r="K11" i="2"/>
  <c r="K13" i="2" s="1"/>
  <c r="K14" i="2" s="1"/>
  <c r="C15" i="1" l="1"/>
  <c r="I40" i="2"/>
  <c r="K15" i="2"/>
  <c r="I45" i="2"/>
  <c r="J45" i="2" l="1"/>
  <c r="J48" i="2" s="1"/>
  <c r="I48" i="2"/>
  <c r="J40" i="2"/>
  <c r="J41" i="2" s="1"/>
  <c r="I41" i="2"/>
  <c r="H15" i="1"/>
  <c r="H17" i="1"/>
  <c r="H16" i="1"/>
  <c r="I49" i="2" l="1"/>
  <c r="D33" i="2" s="1"/>
  <c r="J49" i="2"/>
  <c r="D34" i="2" s="1"/>
  <c r="D36" i="2" l="1"/>
  <c r="D40" i="2"/>
  <c r="F9" i="1" s="1"/>
  <c r="D9" i="1"/>
  <c r="K15" i="1"/>
  <c r="D41" i="2"/>
  <c r="H9" i="1" s="1"/>
  <c r="D37" i="2" l="1"/>
  <c r="K17" i="1" s="1"/>
  <c r="K16" i="1"/>
</calcChain>
</file>

<file path=xl/comments1.xml><?xml version="1.0" encoding="utf-8"?>
<comments xmlns="http://schemas.openxmlformats.org/spreadsheetml/2006/main">
  <authors>
    <author>Unknown Author</author>
  </authors>
  <commentList>
    <comment ref="C8" authorId="0" shapeId="0">
      <text>
        <r>
          <rPr>
            <sz val="10"/>
            <rFont val="Arial"/>
            <family val="2"/>
          </rPr>
          <t>Total seats across all 3 screens. ConnPlex Signature format = up to 175-260 seats across 3 screens (source: ConnPlex franchise disclosure). Mix: 80 Sofa Sliders + 50 Recliners + 70 Duo Loungers (see Investment tab).</t>
        </r>
      </text>
    </comment>
    <comment ref="D8" authorId="0" shapeId="0">
      <text>
        <r>
          <rPr>
            <sz val="10"/>
            <rFont val="Arial"/>
            <family val="2"/>
          </rPr>
          <t>5 shows/day is standard for Indian multiplexes.</t>
        </r>
      </text>
    </comment>
    <comment ref="E8" authorId="0" shapeId="0">
      <text>
        <r>
          <rPr>
            <sz val="10"/>
            <rFont val="Arial"/>
            <family val="2"/>
          </rPr>
          <t>18 weekday + 12 weekend days = 30-day month approximation.</t>
        </r>
      </text>
    </comment>
    <comment ref="G8" authorId="0" shapeId="0">
      <text>
        <r>
          <rPr>
            <sz val="10"/>
            <rFont val="Arial"/>
            <family val="2"/>
          </rPr>
          <t>Conservative base-case weekday occupancy. PVR INOX's company-wide (all-screen, all-day) average occupancy is ~22-24% (Source: ICICI Direct/Sharekhan, FY26). A new single-location premium cinema is modelled below the chain average on weekdays.</t>
        </r>
      </text>
    </comment>
    <comment ref="I8" authorId="0" shapeId="0">
      <text>
        <r>
          <rPr>
            <sz val="10"/>
            <rFont val="Arial"/>
            <family val="2"/>
          </rPr>
          <t>Weekday ATP. PVR INOX national blended ATP = Rs.259-262 (FY25-Q2 FY26, Source: Business Standard/ICICI Direct). This model prices a weekday luxury-recliner seat below that national blend to stay accessible; weekend ATP carries the premium instead.</t>
        </r>
      </text>
    </comment>
    <comment ref="G9" authorId="0" shapeId="0">
      <text>
        <r>
          <rPr>
            <sz val="10"/>
            <rFont val="Arial"/>
            <family val="2"/>
          </rPr>
          <t>Weekend/holiday occupancy. ConnPlex's own franchise disclosure claims '60%+ industry-leading occupancy' (source: franchiseavs.com). This model uses 55% weekend occupancy as a prudent haircut to that brand claim for institutional underwriting - see the Dashboard tab for an upside sensitivity at the brand's own 60%+ claim.</t>
        </r>
      </text>
    </comment>
    <comment ref="I9" authorId="0" shapeId="0">
      <text>
        <r>
          <rPr>
            <sz val="10"/>
            <rFont val="Arial"/>
            <family val="2"/>
          </rPr>
          <t>Weekend/holiday ATP - luxury recliner premium. PVR INOX has stated select premium/recliner screens price Rs.600-700 (Source: aparnadecors.com, citing MD Ajay Bijli); Rs.320 is a moderate premium versus the Rs.259-262 national blended ATP, appropriate for Ahmedabad's price-sensitive-but-growing market.</t>
        </r>
      </text>
    </comment>
    <comment ref="G10" authorId="0" shapeId="0">
      <text>
        <r>
          <rPr>
            <sz val="10"/>
            <rFont val="Arial"/>
            <family val="2"/>
          </rPr>
          <t>Blended occupancy = total tickets sold / total seat-shows available (weighted average, not a simple mean).</t>
        </r>
      </text>
    </comment>
    <comment ref="I11" authorId="0" shapeId="0">
      <text>
        <r>
          <rPr>
            <sz val="10"/>
            <rFont val="Arial"/>
            <family val="2"/>
          </rPr>
          <t>GST on cinema tickets priced above Rs.100 remains 18% under the GST 2.0 reform effective 22-Sep-2025 (tickets &lt;=Rs.100 were cut from 12% to 5%). Source: GST Council 56th meeting; The Hans India / Vakilsearch, Sep 2025.</t>
        </r>
      </text>
    </comment>
    <comment ref="I12" authorId="0" shapeId="0">
      <text>
        <r>
          <rPr>
            <sz val="10"/>
            <rFont val="Arial"/>
            <family val="2"/>
          </rPr>
          <t>Industry-standard nett split: distributor/producer takes ~50% of net box office in week 1, declining to ~42.5% (wk2), 37.5% (wk3), 30% (wk4+) as exhibitor share rises (Source: Koimoi/IndiaForums trade analysis). This model conservatively holds the highest (week-1) 50% rate for every show, understating exhibitor profit for prudent underwriting.</t>
        </r>
      </text>
    </comment>
    <comment ref="I15" authorId="0" shapeId="0">
      <text>
        <r>
          <rPr>
            <sz val="10"/>
            <rFont val="Arial"/>
            <family val="2"/>
          </rPr>
          <t>Franchisee retains 80% of net ticket share; 20% is the ConnPlex brand royalty/franchise fee - within the typical 10-20% royalty band seen across Indian retail &amp; F&amp;B franchise agreements. Edit if your signed franchise agreement specifies a different royalty rate.</t>
        </r>
      </text>
    </comment>
    <comment ref="C19" authorId="0" shapeId="0">
      <text>
        <r>
          <rPr>
            <sz val="10"/>
            <rFont val="Arial"/>
            <family val="2"/>
          </rPr>
          <t>Optional ancillary revenue: private hall bookings / corporate screenings. Defaults to 0; raise this if the franchisee plans to sell private screenings.</t>
        </r>
      </text>
    </comment>
    <comment ref="D19" authorId="0" shapeId="0">
      <text>
        <r>
          <rPr>
            <sz val="10"/>
            <rFont val="Arial"/>
            <family val="2"/>
          </rPr>
          <t>Illustrative rate: Rs.99 x total seats, as in the original franchise model.</t>
        </r>
      </text>
    </comment>
    <comment ref="I19" authorId="0" shapeId="0">
      <text>
        <r>
          <rPr>
            <sz val="10"/>
            <rFont val="Arial"/>
            <family val="2"/>
          </rPr>
          <t>Ad spots/brand tie-ups sold per month across 3 screens + lobby/foyer branding.</t>
        </r>
      </text>
    </comment>
    <comment ref="J19" authorId="0" shapeId="0">
      <text>
        <r>
          <rPr>
            <sz val="10"/>
            <rFont val="Arial"/>
            <family val="2"/>
          </rPr>
          <t>Rate per spot/month. PVR INOX's ad income is ~6-8% of total revenue at scale (Q2 FY26 ad income Rs.125.6cr vs total revenue Rs.1,858.9cr = 6.8%, Source: Business Standard). This is a sanity-check ratio, not a per-spot benchmark - single-location boutique cinemas typically sell local/regional ad inventory directly.</t>
        </r>
      </text>
    </comment>
    <comment ref="C20" authorId="0" shapeId="0">
      <text>
        <r>
          <rPr>
            <sz val="10"/>
            <rFont val="Arial"/>
            <family val="2"/>
          </rPr>
          <t>Footfall = monthly tickets sold (concession spend is modelled per attendee, i.e. Spend-Per-Head).</t>
        </r>
      </text>
    </comment>
    <comment ref="D20" authorId="0" shapeId="0">
      <text>
        <r>
          <rPr>
            <sz val="10"/>
            <rFont val="Arial"/>
            <family val="2"/>
          </rPr>
          <t>F&amp;B Spend-Per-Head (SPH). PVR INOX's national SPH reached an all-time high of Rs.148 in Q1 FY26 (Source: ICICI Direct); FY25 average was Rs.134 (Source: Digital Cinema Report). Rs.180 reflects a premium-format uplift consistent with a 100%-recliner luxury cinema.</t>
        </r>
      </text>
    </comment>
    <comment ref="J20" authorId="0" shapeId="0">
      <text>
        <r>
          <rPr>
            <sz val="10"/>
            <rFont val="Arial"/>
            <family val="2"/>
          </rPr>
          <t>Commission paid to the ad-sales agency for sourcing brand tie-ups.</t>
        </r>
      </text>
    </comment>
    <comment ref="C22" authorId="0" shapeId="0">
      <text>
        <r>
          <rPr>
            <sz val="10"/>
            <rFont val="Arial"/>
            <family val="2"/>
          </rPr>
          <t>Under GST 2.0 (effective 22-Sep-2025), F&amp;B sold in cinemas as a stand-alone 'restaurant service' (not bundled with the ticket) attracts 5% GST - down from 18% pre-reform for combo/bundled sales (Source: Business Standard; GST Council 50th &amp; 56th meetings). If F&amp;B is sold bundled with tickets it reverts to the 18% ticket rate - keep concessions billed separately to retain this saving.</t>
        </r>
      </text>
    </comment>
    <comment ref="E22" authorId="0" shapeId="0">
      <text>
        <r>
          <rPr>
            <sz val="10"/>
            <rFont val="Arial"/>
            <family val="2"/>
          </rPr>
          <t>Backs the GST component out of a GST-inclusive concession price.</t>
        </r>
      </text>
    </comment>
    <comment ref="J22" authorId="0" shapeId="0">
      <text>
        <r>
          <rPr>
            <sz val="10"/>
            <rFont val="Arial"/>
            <family val="2"/>
          </rPr>
          <t>Franchisee retains 80% of gross ad revenue; 20% brand royalty, consistent with the ticket &amp; F&amp;B royalty split.</t>
        </r>
      </text>
    </comment>
    <comment ref="C23" authorId="0" shapeId="0">
      <text>
        <r>
          <rPr>
            <sz val="10"/>
            <rFont val="Arial"/>
            <family val="2"/>
          </rPr>
          <t>Food/beverage cost-of-goods ratio. Cinema concessions typically run 70-75% gross margin (25-30% COGS) industry-wide.</t>
        </r>
      </text>
    </comment>
    <comment ref="D25" authorId="0" shapeId="0">
      <text>
        <r>
          <rPr>
            <sz val="10"/>
            <rFont val="Arial"/>
            <family val="2"/>
          </rPr>
          <t>Franchisee retains 80% of net F&amp;B revenue (20% brand royalty), matching the ticket-income split.</t>
        </r>
      </text>
    </comment>
    <comment ref="D28" authorId="0" shapeId="0">
      <text>
        <r>
          <rPr>
            <sz val="10"/>
            <rFont val="Arial"/>
            <family val="2"/>
          </rPr>
          <t>ConnPlex Signature format.</t>
        </r>
      </text>
    </comment>
    <comment ref="I29" authorId="0" shapeId="0">
      <text>
        <r>
          <rPr>
            <sz val="10"/>
            <rFont val="Arial"/>
            <family val="2"/>
          </rPr>
          <t>Ahmedabad CG Road high-street retail rents run Rs.120-300/sq.ft/month (Source: thesimplebizman.com, 2024-25). A cinema anchor tenant on a ~6,900-7,500 sq.ft footprint typically negotiates well below high-street rates; Rs.500,000/mo implies ~Rs.65-70/sq.ft - consistent with typical mall-anchor cinema deals.</t>
        </r>
      </text>
    </comment>
    <comment ref="I30" authorId="0" shapeId="0">
      <text>
        <r>
          <rPr>
            <sz val="10"/>
            <rFont val="Arial"/>
            <family val="2"/>
          </rPr>
          <t>Common Area Maintenance. Mall CAM charges typically run Rs.10-15/sq.ft/month on top of base rent.</t>
        </r>
      </text>
    </comment>
    <comment ref="I31" authorId="0" shapeId="0">
      <text>
        <r>
          <rPr>
            <sz val="10"/>
            <rFont val="Arial"/>
            <family val="2"/>
          </rPr>
          <t>Broadband, POS, ticketing &amp; digital signage connectivity for a 3-screen site.</t>
        </r>
      </text>
    </comment>
    <comment ref="I32" authorId="0" shapeId="0">
      <text>
        <r>
          <rPr>
            <sz val="10"/>
            <rFont val="Arial"/>
            <family val="2"/>
          </rPr>
          <t>3-screen luxury multiplex with full HVAC + laser projection is power-intensive; Gujarat commercial tariffs run ~Rs.7-8/unit.</t>
        </r>
      </text>
    </comment>
    <comment ref="I33" authorId="0" shapeId="0">
      <text>
        <r>
          <rPr>
            <sz val="10"/>
            <rFont val="Arial"/>
            <family val="2"/>
          </rPr>
          <t>Annual maintenance contracts for projection, sound, seating &amp; HVAC systems.</t>
        </r>
      </text>
    </comment>
    <comment ref="I34" authorId="0" shapeId="0">
      <text>
        <r>
          <rPr>
            <sz val="10"/>
            <rFont val="Arial"/>
            <family val="2"/>
          </rPr>
          <t>Fire, property &amp; public-liability cover for a public entertainment venue.</t>
        </r>
      </text>
    </comment>
    <comment ref="D35" authorId="0" shapeId="0">
      <text>
        <r>
          <rPr>
            <sz val="10"/>
            <rFont val="Arial"/>
            <family val="2"/>
          </rPr>
          <t>Conservative like-for-like growth from occupancy ramp-up &amp; ATP inflation as the property matures (typical multiplex maturity curve). Edit to stress-test.</t>
        </r>
      </text>
    </comment>
    <comment ref="I35" authorId="0" shapeId="0">
      <text>
        <r>
          <rPr>
            <sz val="10"/>
            <rFont val="Arial"/>
            <family val="2"/>
          </rPr>
          <t>Stationery, licenses renewal, housekeeping consumables, contingency.</t>
        </r>
      </text>
    </comment>
    <comment ref="I36" authorId="0" shapeId="0">
      <text>
        <r>
          <rPr>
            <sz val="10"/>
            <rFont val="Arial"/>
            <family val="2"/>
          </rPr>
          <t>Two trained projectionists across 3 screens.</t>
        </r>
      </text>
    </comment>
    <comment ref="I37" authorId="0" shapeId="0">
      <text>
        <r>
          <rPr>
            <sz val="10"/>
            <rFont val="Arial"/>
            <family val="2"/>
          </rPr>
          <t>Box-office and concession-counter staff - scaled for a 200-seat, 3-screen premium format.</t>
        </r>
      </text>
    </comment>
    <comment ref="I38" authorId="0" shapeId="0">
      <text>
        <r>
          <rPr>
            <sz val="10"/>
            <rFont val="Arial"/>
            <family val="2"/>
          </rPr>
          <t>Auditorium &amp; lobby housekeeping team.</t>
        </r>
      </text>
    </comment>
    <comment ref="I39" authorId="0" shapeId="0">
      <text>
        <r>
          <rPr>
            <sz val="10"/>
            <rFont val="Arial"/>
            <family val="2"/>
          </rPr>
          <t>24x7 security personnel.</t>
        </r>
      </text>
    </comment>
    <comment ref="I40" authorId="0" shapeId="0">
      <text>
        <r>
          <rPr>
            <sz val="10"/>
            <rFont val="Arial"/>
            <family val="2"/>
          </rPr>
          <t>2% of monthly ticket + F&amp;B income - a typical retail/entertainment marketing budget ratio. This is formula-linked so it auto-scales with revenue.</t>
        </r>
      </text>
    </comment>
  </commentList>
</comments>
</file>

<file path=xl/comments2.xml><?xml version="1.0" encoding="utf-8"?>
<comments xmlns="http://schemas.openxmlformats.org/spreadsheetml/2006/main">
  <authors>
    <author>Unknown Author</author>
  </authors>
  <commentList>
    <comment ref="C8" authorId="0" shapeId="0">
      <text>
        <r>
          <rPr>
            <sz val="10"/>
            <rFont val="Arial"/>
            <family val="2"/>
          </rPr>
          <t>Entry-tier premium seating. Price per franchise price specification.</t>
        </r>
      </text>
    </comment>
    <comment ref="D8" authorId="0" shapeId="0">
      <text>
        <r>
          <rPr>
            <sz val="10"/>
            <rFont val="Arial"/>
            <family val="2"/>
          </rPr>
          <t>Seat mix totals 200 seats across 3 screens - within ConnPlex Signature's disclosed range (up to 175-263 seats across 3 screens per franchise case studies, Source: franchiseavs.com). Must match total seats on the ROI Calculation tab.</t>
        </r>
      </text>
    </comment>
    <comment ref="C9" authorId="0" shapeId="0">
      <text>
        <r>
          <rPr>
            <sz val="10"/>
            <rFont val="Arial"/>
            <family val="2"/>
          </rPr>
          <t>Full motorised recliners - top-tier comfort seating.</t>
        </r>
      </text>
    </comment>
    <comment ref="D9" authorId="0" shapeId="0">
      <text>
        <r>
          <rPr>
            <sz val="10"/>
            <rFont val="Arial"/>
            <family val="2"/>
          </rPr>
          <t>Seat mix totals 200 seats across 3 screens - within ConnPlex Signature's disclosed range (up to 175-263 seats across 3 screens per franchise case studies, Source: franchiseavs.com). Must match total seats on the ROI Calculation tab.</t>
        </r>
      </text>
    </comment>
    <comment ref="C10" authorId="0" shapeId="0">
      <text>
        <r>
          <rPr>
            <sz val="10"/>
            <rFont val="Arial"/>
            <family val="2"/>
          </rPr>
          <t>Fixed couple-lounger seating, a signature ConnPlex format.</t>
        </r>
      </text>
    </comment>
    <comment ref="D10" authorId="0" shapeId="0">
      <text>
        <r>
          <rPr>
            <sz val="10"/>
            <rFont val="Arial"/>
            <family val="2"/>
          </rPr>
          <t>Seat mix totals 200 seats across 3 screens - within ConnPlex Signature's disclosed range (up to 175-263 seats across 3 screens per franchise case studies, Source: franchiseavs.com). Must match total seats on the ROI Calculation tab.</t>
        </r>
      </text>
    </comment>
    <comment ref="C11" authorId="0" shapeId="0">
      <text>
        <r>
          <rPr>
            <sz val="10"/>
            <rFont val="Arial"/>
            <family val="2"/>
          </rPr>
          <t>One-time ConnPlex brand franchise fee per screen, per the original franchise disclosure.</t>
        </r>
      </text>
    </comment>
    <comment ref="D11" authorId="0" shapeId="0">
      <text>
        <r>
          <rPr>
            <sz val="10"/>
            <rFont val="Arial"/>
            <family val="2"/>
          </rPr>
          <t>3 screens = ConnPlex Signature format.</t>
        </r>
      </text>
    </comment>
    <comment ref="C13" authorId="0" shapeId="0">
      <text>
        <r>
          <rPr>
            <sz val="10"/>
            <rFont val="Arial"/>
            <family val="2"/>
          </rPr>
          <t>Premium interior fit-out cost per sq.ft (flooring, F&amp;B counters, box office, lighting, branding) - typical premium cinema-lobby fit-outs in India run Rs.3,000-6,000/sq.ft.</t>
        </r>
      </text>
    </comment>
    <comment ref="D13" authorId="0" shapeId="0">
      <text>
        <r>
          <rPr>
            <sz val="10"/>
            <rFont val="Arial"/>
            <family val="2"/>
          </rPr>
          <t>Foyer/lobby/F&amp;B/box-office area. ConnPlex Signature total footprint = 6,000-9,000 sq.ft (Source: franchiseavs.com); ~2,200 sq.ft is the non-auditorium (lobby+F&amp;B+box office) portion.</t>
        </r>
      </text>
    </comment>
    <comment ref="C15" authorId="0" shapeId="0">
      <text>
        <r>
          <rPr>
            <sz val="10"/>
            <rFont val="Arial"/>
            <family val="2"/>
          </rPr>
          <t>Standard GST rate on capital goods / interior fit-out &amp; seating procurement.</t>
        </r>
      </text>
    </comment>
    <comment ref="E16" authorId="0" shapeId="0">
      <text>
        <r>
          <rPr>
            <sz val="10"/>
            <rFont val="Arial"/>
            <family val="2"/>
          </rPr>
          <t>Launch marketing, staff hiring/training, licenses &amp; first-3-months working-capital buffer - standard inclusion in ConnPlex's own disclosed Rs.2-4 crore total investment range (Source: franchiseavs.com). GST not applicable to this reserve.</t>
        </r>
      </text>
    </comment>
  </commentList>
</comments>
</file>

<file path=xl/sharedStrings.xml><?xml version="1.0" encoding="utf-8"?>
<sst xmlns="http://schemas.openxmlformats.org/spreadsheetml/2006/main" count="296" uniqueCount="273">
  <si>
    <t>CONNPLEX SIGNATURE  —  AHMEDABAD</t>
  </si>
  <si>
    <t>LUXURY RECLINER MULTIPLEX  •  INVESTOR ROI DASHBOARD  •  FOFO FRANCHISE MODEL</t>
  </si>
  <si>
    <t>TOTAL INVESTMENT</t>
  </si>
  <si>
    <t>YEAR-1 NET PROFIT</t>
  </si>
  <si>
    <t>RETURN ON INVESTMENT</t>
  </si>
  <si>
    <t>PAYBACK PERIOD</t>
  </si>
  <si>
    <t>BLENDED OCCUPANCY</t>
  </si>
  <si>
    <t>3 Screens · 200 Luxury Recliner Seats · ConnPlex Franchise (Founded Gujarat, 2019) · Ahmedabad, Gujarat</t>
  </si>
  <si>
    <t>MONTHLY REVENUE BY STREAM</t>
  </si>
  <si>
    <t>REVENUE MIX</t>
  </si>
  <si>
    <t>3-YEAR NET PROFIT TRAJECTORY</t>
  </si>
  <si>
    <t>Stream</t>
  </si>
  <si>
    <t>₹ / Month</t>
  </si>
  <si>
    <t>Share</t>
  </si>
  <si>
    <t>Year</t>
  </si>
  <si>
    <t>Net Profit (₹)</t>
  </si>
  <si>
    <t>Tickets</t>
  </si>
  <si>
    <t>Year 1</t>
  </si>
  <si>
    <t>Food &amp; Beverage</t>
  </si>
  <si>
    <t>Year 2</t>
  </si>
  <si>
    <t>Advertisement</t>
  </si>
  <si>
    <t>Year 3</t>
  </si>
  <si>
    <t>INVESTMENT ALLOCATION</t>
  </si>
  <si>
    <t>WHY AHMEDABAD, WHY NOW  —  MARKET SIGNALS</t>
  </si>
  <si>
    <t>Component</t>
  </si>
  <si>
    <t>₹</t>
  </si>
  <si>
    <t>•  ConnPlex is a Gujarat-founded (2019) cinema franchise, already running 33+ screens across the state with 250 more planned — the brand states Gujarat can support 300 additional screens. Source: bilkulonline.com, Dec 2024.
•  Ahmedabad had 130 movie theatres as of Oct 2025, up 10% since 2023 — including PVR INOX's 9-screen flagship IMAX/LUXE launch at Phoenix Palladium. Source: rentechdigital.com; newsonprojects.com.
•  India has ~9,500 screens for 1.43bn people (1 per ~147,000) vs the US (1 per 8,000) — the industry sees room for 25,000+ more Indian screens. Source: ConnPlex franchise disclosure, franchiseavs.com.
•  Gujarati-language box office alone grew from ₹46 cr (2015) to ₹104+ cr (Oct 2025) — 100%+ growth in a decade. Source: articles.uvnetware.com, Jan 2026.
•  National multiplex ATP: ₹259-262; F&amp;B spend-per-head hit a record ₹148 in Q1 FY26 — both trending up. Source: PVR INOX investor disclosures / ICICI Direct, 2025-26.</t>
  </si>
  <si>
    <t>Seating + Franchise Fee</t>
  </si>
  <si>
    <t>Foyer / Lobby Fit-Out</t>
  </si>
  <si>
    <t>GST @ 18%</t>
  </si>
  <si>
    <t>Pre-Opening &amp; Working Capital</t>
  </si>
  <si>
    <t>HOW MOVIES EARN  —  RECENT INDIAN BOX-OFFICE BENCHMARKS</t>
  </si>
  <si>
    <t>FILM (YEAR)</t>
  </si>
  <si>
    <t>OPENING DAY</t>
  </si>
  <si>
    <t>OPENING WKND</t>
  </si>
  <si>
    <t>WORLDWIDE GROSS</t>
  </si>
  <si>
    <t>TAKEAWAY</t>
  </si>
  <si>
    <t>Dhurandhar (2025)</t>
  </si>
  <si>
    <t>₹90 cr (record)</t>
  </si>
  <si>
    <t>₹443 cr (record)</t>
  </si>
  <si>
    <t>₹1,349.7 cr</t>
  </si>
  <si>
    <t>A single well-marketed tentpole can fill every recliner in the country for weeks - proof of the demand a great slate creates.</t>
  </si>
  <si>
    <t>Chhaava (2025)</t>
  </si>
  <si>
    <t>—</t>
  </si>
  <si>
    <t>₹797-808 cr</t>
  </si>
  <si>
    <t>Mid-budget period drama outperforming expectations shows genre diversity, not just star power, drives footfalls.</t>
  </si>
  <si>
    <t>Saiyaara (2025)</t>
  </si>
  <si>
    <t>₹579 cr</t>
  </si>
  <si>
    <t>A modestly-budgeted romance became a sleeper hit - premium recliner formats let smaller films still deliver strong per-screen yields.</t>
  </si>
  <si>
    <t>Kantara: Ch.1 (2025)</t>
  </si>
  <si>
    <t>₹852 cr</t>
  </si>
  <si>
    <t>Regional-language content is now routinely crossing ₹800cr+ nationally, widening the content pipeline for every screen.</t>
  </si>
  <si>
    <t>Sources: Bollywood Hungama Box Office Report 2025-26; Wikipedia – List of Hindi films of 2025; Hollywood Reporter India, Feb 2026.</t>
  </si>
  <si>
    <t>This dashboard is 100% formula-linked to the ROI Calculation and Investment tabs. Every chart and KPI updates automatically when an assumption changes. All external figures are sourced - see the Assumptions &amp; Sources tab.</t>
  </si>
  <si>
    <t>CONNPLEX SIGNATURE  •  LUXURY RECLINER MULTIPLEX</t>
  </si>
  <si>
    <t>3-Screen FOFO Franchise Model  —  Ahmedabad, Gujarat  |  Investor ROI Projection, FY 2026-27</t>
  </si>
  <si>
    <t xml:space="preserve">  Champagne-gold cells = editable assumption   ·   White cells = auto-calculated formula   ·   Navy/gold cells = key result. See 'Assumptions &amp; Sources' tab for every citation.</t>
  </si>
  <si>
    <t>1.  TICKET REVENUE</t>
  </si>
  <si>
    <t>PARTICULAR</t>
  </si>
  <si>
    <t>SEATS
(TOTAL)</t>
  </si>
  <si>
    <t>SHOWS
/ DAY</t>
  </si>
  <si>
    <t>OPERATING
DAYS / MO.</t>
  </si>
  <si>
    <t>SEAT-SHOWS
AVAILABLE</t>
  </si>
  <si>
    <t>OCCUPANCY
%</t>
  </si>
  <si>
    <t>TICKETS
SOLD</t>
  </si>
  <si>
    <t>ATP
(₹)</t>
  </si>
  <si>
    <t>MONTHLY
REVENUE (₹)</t>
  </si>
  <si>
    <t>ANNUAL
REVENUE (₹)</t>
  </si>
  <si>
    <t>MON – THURSDAY</t>
  </si>
  <si>
    <t>FRI – SUNDAY</t>
  </si>
  <si>
    <t>GROSS TICKET COLLECTION</t>
  </si>
  <si>
    <t>Less: GST on Tickets @ 18%</t>
  </si>
  <si>
    <t>Less: Distributor / Producer Share</t>
  </si>
  <si>
    <t>% of Net Box Office →</t>
  </si>
  <si>
    <t>TOTAL DEDUCTIONS  (GST + Distributor)</t>
  </si>
  <si>
    <t>EXHIBITOR'S NET TICKET SHARE</t>
  </si>
  <si>
    <t>(Gross Collection − Deductions)</t>
  </si>
  <si>
    <t>FRANCHISEE NET TICKET INCOME</t>
  </si>
  <si>
    <t>after Brand Royalty</t>
  </si>
  <si>
    <t>2.  FOOD &amp; BEVERAGE REVENUE</t>
  </si>
  <si>
    <t>3.  ADVERTISEMENT REVENUE</t>
  </si>
  <si>
    <t>QTY</t>
  </si>
  <si>
    <t>RATE (₹)</t>
  </si>
  <si>
    <t>AMOUNT (₹)</t>
  </si>
  <si>
    <t>Banquet / Private Screening</t>
  </si>
  <si>
    <t>On-Screen / Lobby Ads</t>
  </si>
  <si>
    <t>Food &amp; Beverage (Concessions)</t>
  </si>
  <si>
    <t>Less: Agency / Sales Commission</t>
  </si>
  <si>
    <t>GROSS F&amp;B INCOME</t>
  </si>
  <si>
    <t>GROSS AD REVENUE</t>
  </si>
  <si>
    <t>Less: GST @ 5% (F&amp;B sold stand-alone)</t>
  </si>
  <si>
    <t>FRANCHISEE NET AD INCOME</t>
  </si>
  <si>
    <t>Less: F&amp;B Cost (COGS) @ 25%</t>
  </si>
  <si>
    <t>NET F&amp;B REVENUE</t>
  </si>
  <si>
    <t>FRANCHISEE NET F&amp;B INCOME</t>
  </si>
  <si>
    <t>6.  SUMMARY OF RETURNS</t>
  </si>
  <si>
    <t>4.  MONTHLY OPERATING EXPENSES (FRANCHISEE)</t>
  </si>
  <si>
    <t>Screens</t>
  </si>
  <si>
    <t>MONTHLY (₹)</t>
  </si>
  <si>
    <t>ANNUAL (₹)</t>
  </si>
  <si>
    <t>Total Seats</t>
  </si>
  <si>
    <t>Property Rent</t>
  </si>
  <si>
    <t>Blended Occupancy</t>
  </si>
  <si>
    <t>CAM Charges</t>
  </si>
  <si>
    <t>Average Ticket Price (Blended)</t>
  </si>
  <si>
    <t>Internet &amp; Digital Systems</t>
  </si>
  <si>
    <t>Electricity (Power &amp; HVAC)</t>
  </si>
  <si>
    <t>Net Profit / Month (Year 1)</t>
  </si>
  <si>
    <t>Equipment AMC</t>
  </si>
  <si>
    <t>Net Profit / Year (Year 1)</t>
  </si>
  <si>
    <t>Insurance</t>
  </si>
  <si>
    <t>Assumed Annual Growth (Yr 2+)</t>
  </si>
  <si>
    <t>Admin / Miscellaneous</t>
  </si>
  <si>
    <t>Net Profit / Year 2</t>
  </si>
  <si>
    <t>Projection Operators (2)</t>
  </si>
  <si>
    <t>Net Profit / Year 3</t>
  </si>
  <si>
    <t>F&amp;B + Ticketing Staff</t>
  </si>
  <si>
    <t>Housekeeping Staff</t>
  </si>
  <si>
    <t>TOTAL INVESTMENT REQUIRED</t>
  </si>
  <si>
    <t>Security Staff</t>
  </si>
  <si>
    <t>RETURN ON INVESTMENT (Yr 1, p.a.)</t>
  </si>
  <si>
    <t>Marketing &amp; Promotion (2%)</t>
  </si>
  <si>
    <t>TOTAL OPERATING EXPENSES</t>
  </si>
  <si>
    <t>5.  FRANCHISEE PROFIT SUMMARY</t>
  </si>
  <si>
    <t>Ticket Income</t>
  </si>
  <si>
    <t>Food &amp; Beverage Income</t>
  </si>
  <si>
    <t>Advertisement Income</t>
  </si>
  <si>
    <t>TOTAL FRANCHISEE INCOME</t>
  </si>
  <si>
    <t>NET PROFIT (FRANCHISEE)</t>
  </si>
  <si>
    <t>Every figure above is a live formula. Change any champagne-gold cell (seats, ATP, occupancy, F&amp;B spend, rent, staffing, royalty %) and the entire model - including the Dashboard charts and Investment tab - recalculates automatically.</t>
  </si>
  <si>
    <t>CONNPLEX SIGNATURE  •  INVESTMENT CALCULATION</t>
  </si>
  <si>
    <t>FOFO (Franchise-Owned, Franchise-Operated) Model  —  3 Screens</t>
  </si>
  <si>
    <t xml:space="preserve">  Champagne-gold = editable input   ·   White = formula   ·   Navy/gold = key total</t>
  </si>
  <si>
    <t>1.  SEATING &amp; AUDITORIUM INVESTMENT</t>
  </si>
  <si>
    <t>PRICE LIST REFERENCE</t>
  </si>
  <si>
    <t>PRODUCT DETAILS</t>
  </si>
  <si>
    <t>PRICE / SEAT (₹)</t>
  </si>
  <si>
    <t>NUMBER OF SEATS</t>
  </si>
  <si>
    <t>TOTAL (₹)</t>
  </si>
  <si>
    <t>Seat / Item</t>
  </si>
  <si>
    <t>Price (₹)</t>
  </si>
  <si>
    <t>Sofa Slider</t>
  </si>
  <si>
    <t>Recliners</t>
  </si>
  <si>
    <t>Fixed Couple Lounger</t>
  </si>
  <si>
    <t>Duo Loungers (Couple Seating)</t>
  </si>
  <si>
    <t>Automatic Recliner Sofa</t>
  </si>
  <si>
    <t>Franchise Fee (per screen)</t>
  </si>
  <si>
    <t>Franchise Fee / Screen</t>
  </si>
  <si>
    <t>SUBTOTAL: Seating + Franchise Fee</t>
  </si>
  <si>
    <t>Foyer / Lobby Fit-Out (Sq.Ft)</t>
  </si>
  <si>
    <t>ConnPlex Signature specification (per franchise disclosure):
• Area required: 6,000-9,000 sq.ft
• Screens: 3
• Seating: Sofa Sliders, Duo Loungers, Recliners
• Capacity: up to ~175-260 seats
• Franchisor-claimed occupancy: 60%+
• Franchisor-claimed payback: 3-4 years
Source: franchiseavs.com/connplex-smart-theatres-franchise-in-india/</t>
  </si>
  <si>
    <t>TOTAL AUDITORIUM + FOYER INVESTMENT</t>
  </si>
  <si>
    <t>GST @ 18% (on equipment &amp; fit-out)</t>
  </si>
  <si>
    <t>Pre-Opening Marketing &amp; Working Capital Reserve</t>
  </si>
  <si>
    <t>TOTAL INVESTMENT OF THE THEATRE</t>
  </si>
  <si>
    <t>* GST is extra / applicable as per prevailing government norms.</t>
  </si>
  <si>
    <t>* Minimum ceiling height: 12 ft (per ConnPlex build specification).</t>
  </si>
  <si>
    <t>* Outer-area / facade beautification charges are extra, and civil construction is not included in the ConnPlex franchise package.</t>
  </si>
  <si>
    <t>* ConnPlex's own disclosed estimate: Rs.2-4 crore total investment depending on format &amp; city (Source: franchiseavs.com/connplex-smart-theatres-franchise-in-india).</t>
  </si>
  <si>
    <t>ASSUMPTIONS &amp; SOURCES</t>
  </si>
  <si>
    <t>Every hard-coded figure in this workbook, why it was chosen, and where it comes from.</t>
  </si>
  <si>
    <t>ASSUMPTION</t>
  </si>
  <si>
    <t>VALUE USED</t>
  </si>
  <si>
    <t>RATIONALE</t>
  </si>
  <si>
    <t>SOURCE</t>
  </si>
  <si>
    <t>TICKET REVENUE</t>
  </si>
  <si>
    <t>Total seats (3 screens)</t>
  </si>
  <si>
    <t>200</t>
  </si>
  <si>
    <t>ConnPlex Signature format case studies show 3-screen layouts of 150-260 seats.</t>
  </si>
  <si>
    <t>franchiseavs.com/connplex-smart-theatres-franchise-in-india/</t>
  </si>
  <si>
    <t>Weekday occupancy</t>
  </si>
  <si>
    <t>20%</t>
  </si>
  <si>
    <t>PVR INOX's national all-screen average occupancy is ~22-24%; modelled slightly below chain average for a new single-location weekday.</t>
  </si>
  <si>
    <t>ICICI Direct / Sharekhan PVR INOX research notes, Aug 2025</t>
  </si>
  <si>
    <t>Weekend occupancy</t>
  </si>
  <si>
    <t>55%</t>
  </si>
  <si>
    <t>Prudent haircut vs. ConnPlex's own '60%+ industry-leading occupancy' franchise claim.</t>
  </si>
  <si>
    <t>Weekday ATP</t>
  </si>
  <si>
    <t>₹220</t>
  </si>
  <si>
    <t>Below the national blended ATP; weekend pricing carries the premium instead.</t>
  </si>
  <si>
    <t>Business Standard, Oct 2025 (PVR INOX Q2 FY26 ATP ₹262)</t>
  </si>
  <si>
    <t>Weekend / holiday ATP</t>
  </si>
  <si>
    <t>₹320</t>
  </si>
  <si>
    <t>Moderate premium vs. national ATP; PVR has stated select premium/recliner screens price ₹600-700.</t>
  </si>
  <si>
    <t>aparnadecors.com, Dec 2025, citing PVR INOX MD Ajay Bijli</t>
  </si>
  <si>
    <t>GST on tickets (&gt;₹100)</t>
  </si>
  <si>
    <t>18%</t>
  </si>
  <si>
    <t>Unchanged under the GST 2.0 reform effective 22-Sep-2025 (only the ≤₹100 slab was cut, from 12% to 5%).</t>
  </si>
  <si>
    <t>The Hans India, Sep 2025; GST Council 56th meeting</t>
  </si>
  <si>
    <t>Distributor / producer share</t>
  </si>
  <si>
    <t>50%</t>
  </si>
  <si>
    <t>Industry week-1 nett split; exhibitor share actually rises to 57.5/62.5/70% in later weeks - this model conservatively holds the highest distributor rate throughout.</t>
  </si>
  <si>
    <t>Koimoi.com trade analysis; IndiaForums Bollywood trade desk</t>
  </si>
  <si>
    <t>Franchisee ticket/F&amp;B/ad share</t>
  </si>
  <si>
    <t>80% (20% royalty)</t>
  </si>
  <si>
    <t>Assumed ConnPlex brand royalty, within the typical 10-20% Indian franchise royalty band. Edit to match your signed agreement.</t>
  </si>
  <si>
    <t>Industry-typical franchise royalty range (assumption, not brand-specific disclosure)</t>
  </si>
  <si>
    <t>FOOD &amp; BEVERAGE</t>
  </si>
  <si>
    <t>F&amp;B Spend-Per-Head (SPH)</t>
  </si>
  <si>
    <t>₹180</t>
  </si>
  <si>
    <t>Premium-format uplift vs. PVR INOX's record national SPH of ₹148 (Q1 FY26) / ₹134 (FY25 avg).</t>
  </si>
  <si>
    <t>ICICI Direct, Aug 2025; Digital Cinema Report, Aug 2025</t>
  </si>
  <si>
    <t>F&amp;B GST</t>
  </si>
  <si>
    <t>5%</t>
  </si>
  <si>
    <t>F&amp;B sold stand-alone (not bundled with the ticket) is taxed as a restaurant service at 5% under GST 2.0 - bundled combos revert to the 18% ticket rate.</t>
  </si>
  <si>
    <t>Business Standard; GST Council 50th &amp; 56th meetings</t>
  </si>
  <si>
    <t>F&amp;B cost ratio (COGS)</t>
  </si>
  <si>
    <t>25%</t>
  </si>
  <si>
    <t>Cinema concessions typically carry 70-75% gross margin industry-wide.</t>
  </si>
  <si>
    <t>Industry-standard F&amp;B margin benchmark</t>
  </si>
  <si>
    <t>ADVERTISEMENT</t>
  </si>
  <si>
    <t>Ad spots / month</t>
  </si>
  <si>
    <t>40 @ ₹10,000</t>
  </si>
  <si>
    <t>Local/regional on-screen + lobby ad inventory for a 3-screen site.</t>
  </si>
  <si>
    <t>Assumption, sized so ad income sits near PVR INOX's ~6-8% of total revenue</t>
  </si>
  <si>
    <t>Agency commission</t>
  </si>
  <si>
    <t>30%</t>
  </si>
  <si>
    <t>Standard media-buying agency commission on ad sales.</t>
  </si>
  <si>
    <t>Industry-standard assumption</t>
  </si>
  <si>
    <t>OPERATING EXPENSES (MONTHLY)</t>
  </si>
  <si>
    <t>Property rent</t>
  </si>
  <si>
    <t>₹5,00,000</t>
  </si>
  <si>
    <t>Implies ~₹65-70/sq.ft on a ~7,500 sq.ft footprint - well below Ahmedabad CG Road high-street rates, consistent with mall-anchor cinema deals.</t>
  </si>
  <si>
    <t>thesimplebizman.com, Aug 2025 (Ahmedabad CG Road: ₹120-300/sq.ft)</t>
  </si>
  <si>
    <t>CAM charges</t>
  </si>
  <si>
    <t>₹80,000</t>
  </si>
  <si>
    <t>Typical mall common-area-maintenance charge of ₹10-15/sq.ft/month.</t>
  </si>
  <si>
    <t>Standard Indian mall-lease convention</t>
  </si>
  <si>
    <t>Electricity</t>
  </si>
  <si>
    <t>₹1,80,000</t>
  </si>
  <si>
    <t>3-screen HVAC + laser projection load at Gujarat commercial tariffs (~₹7-8/unit).</t>
  </si>
  <si>
    <t>Assumption based on Gujarat commercial power tariffs</t>
  </si>
  <si>
    <t>Marketing &amp; promotion</t>
  </si>
  <si>
    <t>2% of Ticket+F&amp;B</t>
  </si>
  <si>
    <t>Typical retail/entertainment marketing budget ratio - formula-linked so it scales with revenue.</t>
  </si>
  <si>
    <t>Assumption</t>
  </si>
  <si>
    <t>INVESTMENT (ONE-TIME)</t>
  </si>
  <si>
    <t>Seat prices</t>
  </si>
  <si>
    <t>₹85k-1.5L / seat</t>
  </si>
  <si>
    <t>Per ConnPlex's own published price specification.</t>
  </si>
  <si>
    <t>Original franchise price list (franchisor-supplied)</t>
  </si>
  <si>
    <t>Franchise fee</t>
  </si>
  <si>
    <t>₹5,00,000 / screen</t>
  </si>
  <si>
    <t>Per ConnPlex franchise disclosure.</t>
  </si>
  <si>
    <t>Original franchise document</t>
  </si>
  <si>
    <t>Foyer fit-out</t>
  </si>
  <si>
    <t>₹3,000/sq.ft × 2,200 sq.ft</t>
  </si>
  <si>
    <t>Premium cinema-lobby fit-outs in India typically run ₹3,000-6,000/sq.ft.</t>
  </si>
  <si>
    <t>Industry fit-out cost benchmark (assumption)</t>
  </si>
  <si>
    <t>Total investment (check)</t>
  </si>
  <si>
    <t>~₹3.5-4.0 cr</t>
  </si>
  <si>
    <t>Lands inside ConnPlex's own disclosed ₹2-4 crore range for the Signature/Luxuriance formats.</t>
  </si>
  <si>
    <t>MARKET CONTEXT</t>
  </si>
  <si>
    <t>Ahmedabad screen count</t>
  </si>
  <si>
    <t>130 theatres (Oct 2025), +10% vs 2023</t>
  </si>
  <si>
    <t>Confirms an actively growing exhibition market.</t>
  </si>
  <si>
    <t>rentechdigital.com</t>
  </si>
  <si>
    <t>PVR INOX Ahmedabad presence</t>
  </si>
  <si>
    <t>36 screens / 6 properties (incl. 9-screen IMAX/LUXE flagship)</t>
  </si>
  <si>
    <t>Validates premium-format demand in the city.</t>
  </si>
  <si>
    <t>newsonprojects.com</t>
  </si>
  <si>
    <t>ConnPlex Gujarat footprint</t>
  </si>
  <si>
    <t>33+ screens live, 250 more planned</t>
  </si>
  <si>
    <t>Brand's own stated Gujarat growth trajectory.</t>
  </si>
  <si>
    <t>bilkulonline.com, Dec 2024</t>
  </si>
  <si>
    <t>Gujarati box-office growth</t>
  </si>
  <si>
    <t>₹46cr (2015) → ₹104+cr (Oct 2025)</t>
  </si>
  <si>
    <t>100%+ decade growth in the regional content pipeline.</t>
  </si>
  <si>
    <t>articles.uvnetware.com, Jan 2026</t>
  </si>
  <si>
    <t>India screen density</t>
  </si>
  <si>
    <t>1 screen per ~147,000 people vs. USA 1:8,000</t>
  </si>
  <si>
    <t>Structural under-screened market cited by the franchisor.</t>
  </si>
  <si>
    <t>Every editable assumption cell also carries an in-cell comment (hover to view) repeating this rationale and source at the point of use.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</si>
</sst>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6">
    <numFmt numFmtId="164" formatCode="&quot;Rs. &quot;#,##0;&quot;(Rs. &quot;#,##0\);\-"/>
    <numFmt numFmtId="165" formatCode="0.0%"/>
    <numFmt numFmtId="166" formatCode="0.0&quot; yrs&quot;"/>
    <numFmt numFmtId="168" formatCode="_(* #,##0_);_(* \(#,##0\);_(* \-??_);_(@_)"/>
    <numFmt numFmtId="169" formatCode="0.0&quot; years&quot;"/>
    <numFmt numFmtId="170" formatCode="#,##0&quot; sq.ft&quot;"/>
  </numFmts>
  <fonts count="25" x14ac:knownFonts="1">
    <font>
      <sz val="11"/>
      <color theme="1"/>
      <name val="Calibri"/>
      <family val="2"/>
      <charset val="1"/>
    </font>
    <font>
      <b/>
      <sz val="28"/>
      <color rgb="FFC9A227"/>
      <name val="Georgia"/>
      <charset val="1"/>
    </font>
    <font>
      <sz val="12"/>
      <color rgb="FFC9A227"/>
      <name val="Georgia"/>
      <charset val="1"/>
    </font>
    <font>
      <b/>
      <sz val="8.5"/>
      <color rgb="FFC9A227"/>
      <name val="Calibri"/>
      <charset val="1"/>
    </font>
    <font>
      <b/>
      <sz val="16"/>
      <color rgb="FFFFFFFF"/>
      <name val="Calibri"/>
      <charset val="1"/>
    </font>
    <font>
      <i/>
      <sz val="9.5"/>
      <color rgb="FF6B6B6B"/>
      <name val="Calibri"/>
      <charset val="1"/>
    </font>
    <font>
      <b/>
      <sz val="12"/>
      <color rgb="FFFFFFFF"/>
      <name val="Calibri"/>
      <charset val="1"/>
    </font>
    <font>
      <b/>
      <sz val="9.5"/>
      <color rgb="FFFFFFFF"/>
      <name val="Calibri"/>
      <charset val="1"/>
    </font>
    <font>
      <sz val="11"/>
      <color rgb="FF1A1A1A"/>
      <name val="Calibri"/>
      <charset val="1"/>
    </font>
    <font>
      <sz val="9"/>
      <color rgb="FF1A1A1A"/>
      <name val="Calibri"/>
      <charset val="1"/>
    </font>
    <font>
      <b/>
      <sz val="9"/>
      <color rgb="FF12142B"/>
      <name val="Calibri"/>
      <charset val="1"/>
    </font>
    <font>
      <b/>
      <sz val="9"/>
      <color rgb="FF8A6D1A"/>
      <name val="Calibri"/>
      <charset val="1"/>
    </font>
    <font>
      <i/>
      <sz val="8"/>
      <color rgb="FF6B6B6B"/>
      <name val="Calibri"/>
      <charset val="1"/>
    </font>
    <font>
      <i/>
      <sz val="8.5"/>
      <color rgb="FF6B6B6B"/>
      <name val="Calibri"/>
      <charset val="1"/>
    </font>
    <font>
      <b/>
      <sz val="20"/>
      <color rgb="FFC9A227"/>
      <name val="Georgia"/>
      <charset val="1"/>
    </font>
    <font>
      <i/>
      <sz val="11"/>
      <color rgb="FFFFFFFF"/>
      <name val="Calibri"/>
      <charset val="1"/>
    </font>
    <font>
      <b/>
      <sz val="11"/>
      <color rgb="FF12142B"/>
      <name val="Calibri"/>
      <charset val="1"/>
    </font>
    <font>
      <i/>
      <sz val="9"/>
      <color rgb="FF6B6B6B"/>
      <name val="Calibri"/>
      <charset val="1"/>
    </font>
    <font>
      <b/>
      <sz val="11"/>
      <color rgb="FFC9A227"/>
      <name val="Calibri"/>
      <charset val="1"/>
    </font>
    <font>
      <i/>
      <sz val="9"/>
      <color rgb="FFC9A227"/>
      <name val="Calibri"/>
      <charset val="1"/>
    </font>
    <font>
      <b/>
      <sz val="11"/>
      <color rgb="FF1A1A1A"/>
      <name val="Calibri"/>
      <charset val="1"/>
    </font>
    <font>
      <sz val="10"/>
      <name val="Arial"/>
      <family val="2"/>
    </font>
    <font>
      <b/>
      <sz val="18"/>
      <color rgb="FFC9A227"/>
      <name val="Georgia"/>
      <charset val="1"/>
    </font>
    <font>
      <i/>
      <sz val="10.5"/>
      <color rgb="FFFFFFFF"/>
      <name val="Calibri"/>
      <charset val="1"/>
    </font>
    <font>
      <b/>
      <sz val="11"/>
      <color rgb="FF8A6D1A"/>
      <name val="Calibri"/>
      <charset val="1"/>
    </font>
  </fonts>
  <fills count="9">
    <fill>
      <patternFill patternType="none"/>
    </fill>
    <fill>
      <patternFill patternType="gray125"/>
    </fill>
    <fill>
      <patternFill patternType="solid">
        <fgColor rgb="FF1B1F3B"/>
        <bgColor rgb="FF12142B"/>
      </patternFill>
    </fill>
    <fill>
      <patternFill patternType="solid">
        <fgColor rgb="FF12142B"/>
        <bgColor rgb="FF1A1A1A"/>
      </patternFill>
    </fill>
    <fill>
      <patternFill patternType="solid">
        <fgColor rgb="FF6E1E33"/>
        <bgColor rgb="FF800000"/>
      </patternFill>
    </fill>
    <fill>
      <patternFill patternType="solid">
        <fgColor rgb="FFFFFFFF"/>
        <bgColor rgb="FFF9F9F9"/>
      </patternFill>
    </fill>
    <fill>
      <patternFill patternType="solid">
        <fgColor rgb="FFFBF8F2"/>
        <bgColor rgb="FFF9F9F9"/>
      </patternFill>
    </fill>
    <fill>
      <patternFill patternType="solid">
        <fgColor rgb="FFFBF0D1"/>
        <bgColor rgb="FFFBF8F2"/>
      </patternFill>
    </fill>
    <fill>
      <patternFill patternType="solid">
        <fgColor rgb="FFF2E1E6"/>
        <bgColor rgb="FFFBF0D1"/>
      </patternFill>
    </fill>
  </fills>
  <borders count="2">
    <border>
      <left/>
      <right/>
      <top/>
      <bottom/>
      <diagonal/>
    </border>
    <border>
      <left/>
      <right/>
      <top style="thin">
        <color rgb="FFC9A227"/>
      </top>
      <bottom/>
      <diagonal/>
    </border>
  </borders>
  <cellStyleXfs count="1">
    <xf numFmtId="0" fontId="0" fillId="0" borderId="0"/>
  </cellStyleXfs>
  <cellXfs count="57">
    <xf numFmtId="0" fontId="0" fillId="0" borderId="0" xfId="0"/>
    <xf numFmtId="0" fontId="11" fillId="0" borderId="0" xfId="0" applyFont="1" applyBorder="1" applyAlignment="1">
      <alignment horizontal="center" vertical="center"/>
    </xf>
    <xf numFmtId="0" fontId="9" fillId="0" borderId="0" xfId="0" applyFont="1" applyBorder="1" applyAlignment="1">
      <alignment horizontal="center" vertical="center"/>
    </xf>
    <xf numFmtId="0" fontId="10" fillId="0" borderId="0" xfId="0" applyFont="1" applyBorder="1" applyAlignment="1">
      <alignment horizontal="left" vertical="center"/>
    </xf>
    <xf numFmtId="0" fontId="7" fillId="2" borderId="0" xfId="0" applyFont="1" applyFill="1" applyBorder="1" applyAlignment="1">
      <alignment horizontal="center" vertical="center"/>
    </xf>
    <xf numFmtId="0" fontId="6" fillId="4" borderId="0" xfId="0" applyFont="1" applyFill="1" applyBorder="1" applyAlignment="1">
      <alignment horizontal="center" vertical="center" indent="1"/>
    </xf>
    <xf numFmtId="0" fontId="9" fillId="6" borderId="0" xfId="0" applyFont="1" applyFill="1" applyBorder="1" applyAlignment="1">
      <alignment horizontal="left" vertical="top" wrapText="1" indent="1"/>
    </xf>
    <xf numFmtId="0" fontId="6" fillId="4" borderId="0" xfId="0" applyFont="1" applyFill="1" applyBorder="1" applyAlignment="1">
      <alignment horizontal="center" vertical="center"/>
    </xf>
    <xf numFmtId="0" fontId="5" fillId="0" borderId="0" xfId="0" applyFont="1" applyBorder="1" applyAlignment="1">
      <alignment horizontal="center" vertical="center"/>
    </xf>
    <xf numFmtId="166" fontId="4" fillId="3" borderId="0" xfId="0" applyNumberFormat="1" applyFont="1" applyFill="1" applyBorder="1" applyAlignment="1">
      <alignment horizontal="center" vertical="center"/>
    </xf>
    <xf numFmtId="165" fontId="4" fillId="3" borderId="0" xfId="0" applyNumberFormat="1" applyFont="1" applyFill="1" applyBorder="1" applyAlignment="1">
      <alignment horizontal="center" vertical="center"/>
    </xf>
    <xf numFmtId="164" fontId="4" fillId="3" borderId="0" xfId="0" applyNumberFormat="1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2" fillId="3" borderId="0" xfId="0" applyFont="1" applyFill="1" applyBorder="1" applyAlignment="1">
      <alignment horizontal="center" vertical="center"/>
    </xf>
    <xf numFmtId="0" fontId="1" fillId="2" borderId="0" xfId="0" applyFont="1" applyFill="1" applyBorder="1" applyAlignment="1">
      <alignment horizontal="center" vertical="center"/>
    </xf>
    <xf numFmtId="0" fontId="7" fillId="2" borderId="0" xfId="0" applyFont="1" applyFill="1" applyAlignment="1">
      <alignment horizontal="center" vertical="center"/>
    </xf>
    <xf numFmtId="0" fontId="8" fillId="5" borderId="0" xfId="0" applyFont="1" applyFill="1"/>
    <xf numFmtId="164" fontId="8" fillId="5" borderId="0" xfId="0" applyNumberFormat="1" applyFont="1" applyFill="1"/>
    <xf numFmtId="165" fontId="8" fillId="5" borderId="0" xfId="0" applyNumberFormat="1" applyFont="1" applyFill="1"/>
    <xf numFmtId="0" fontId="7" fillId="2" borderId="0" xfId="0" applyFont="1" applyFill="1" applyAlignment="1">
      <alignment horizontal="center" vertical="center" wrapText="1"/>
    </xf>
    <xf numFmtId="168" fontId="16" fillId="7" borderId="0" xfId="0" applyNumberFormat="1" applyFont="1" applyFill="1" applyAlignment="1">
      <alignment horizontal="center" vertical="center"/>
    </xf>
    <xf numFmtId="168" fontId="8" fillId="5" borderId="0" xfId="0" applyNumberFormat="1" applyFont="1" applyFill="1" applyAlignment="1">
      <alignment horizontal="center" vertical="center"/>
    </xf>
    <xf numFmtId="9" fontId="16" fillId="7" borderId="0" xfId="0" applyNumberFormat="1" applyFont="1" applyFill="1" applyAlignment="1">
      <alignment horizontal="center" vertical="center"/>
    </xf>
    <xf numFmtId="164" fontId="16" fillId="7" borderId="0" xfId="0" applyNumberFormat="1" applyFont="1" applyFill="1" applyAlignment="1">
      <alignment horizontal="center" vertical="center"/>
    </xf>
    <xf numFmtId="164" fontId="8" fillId="5" borderId="0" xfId="0" applyNumberFormat="1" applyFont="1" applyFill="1" applyAlignment="1">
      <alignment horizontal="center" vertical="center"/>
    </xf>
    <xf numFmtId="0" fontId="16" fillId="8" borderId="0" xfId="0" applyFont="1" applyFill="1"/>
    <xf numFmtId="168" fontId="16" fillId="8" borderId="0" xfId="0" applyNumberFormat="1" applyFont="1" applyFill="1" applyAlignment="1">
      <alignment horizontal="center" vertical="center"/>
    </xf>
    <xf numFmtId="165" fontId="16" fillId="8" borderId="0" xfId="0" applyNumberFormat="1" applyFont="1" applyFill="1" applyAlignment="1">
      <alignment horizontal="center" vertical="center"/>
    </xf>
    <xf numFmtId="164" fontId="16" fillId="8" borderId="0" xfId="0" applyNumberFormat="1" applyFont="1" applyFill="1" applyAlignment="1">
      <alignment horizontal="center" vertical="center"/>
    </xf>
    <xf numFmtId="0" fontId="17" fillId="5" borderId="0" xfId="0" applyFont="1" applyFill="1" applyAlignment="1">
      <alignment horizontal="right" vertical="center"/>
    </xf>
    <xf numFmtId="0" fontId="17" fillId="8" borderId="0" xfId="0" applyFont="1" applyFill="1" applyAlignment="1">
      <alignment horizontal="right" vertical="center"/>
    </xf>
    <xf numFmtId="0" fontId="19" fillId="2" borderId="0" xfId="0" applyFont="1" applyFill="1" applyAlignment="1">
      <alignment horizontal="right" vertical="center"/>
    </xf>
    <xf numFmtId="164" fontId="18" fillId="2" borderId="0" xfId="0" applyNumberFormat="1" applyFont="1" applyFill="1" applyAlignment="1">
      <alignment horizontal="center" vertical="center"/>
    </xf>
    <xf numFmtId="0" fontId="18" fillId="2" borderId="0" xfId="0" applyFont="1" applyFill="1"/>
    <xf numFmtId="165" fontId="8" fillId="5" borderId="0" xfId="0" applyNumberFormat="1" applyFont="1" applyFill="1" applyAlignment="1">
      <alignment horizontal="center" vertical="center"/>
    </xf>
    <xf numFmtId="0" fontId="20" fillId="5" borderId="0" xfId="0" applyFont="1" applyFill="1"/>
    <xf numFmtId="165" fontId="18" fillId="2" borderId="0" xfId="0" applyNumberFormat="1" applyFont="1" applyFill="1" applyAlignment="1">
      <alignment horizontal="center" vertical="center"/>
    </xf>
    <xf numFmtId="169" fontId="18" fillId="2" borderId="0" xfId="0" applyNumberFormat="1" applyFont="1" applyFill="1" applyAlignment="1">
      <alignment horizontal="center" vertical="center"/>
    </xf>
    <xf numFmtId="170" fontId="16" fillId="7" borderId="0" xfId="0" applyNumberFormat="1" applyFont="1" applyFill="1" applyAlignment="1">
      <alignment horizontal="center" vertical="center"/>
    </xf>
    <xf numFmtId="0" fontId="17" fillId="0" borderId="0" xfId="0" applyFont="1"/>
    <xf numFmtId="0" fontId="24" fillId="0" borderId="0" xfId="0" applyFont="1" applyAlignment="1">
      <alignment horizontal="center" vertical="center" wrapText="1"/>
    </xf>
    <xf numFmtId="0" fontId="9" fillId="0" borderId="0" xfId="0" applyFont="1" applyAlignment="1">
      <alignment horizontal="left" vertical="top" wrapText="1"/>
    </xf>
    <xf numFmtId="0" fontId="13" fillId="0" borderId="0" xfId="0" applyFont="1" applyAlignment="1">
      <alignment horizontal="left" vertical="top" wrapText="1"/>
    </xf>
    <xf numFmtId="0" fontId="12" fillId="0" borderId="0" xfId="0" applyFont="1" applyBorder="1" applyAlignment="1">
      <alignment horizontal="left" vertical="center" wrapText="1"/>
    </xf>
    <xf numFmtId="0" fontId="12" fillId="0" borderId="0" xfId="0" applyFont="1" applyBorder="1" applyAlignment="1">
      <alignment horizontal="left" vertical="center"/>
    </xf>
    <xf numFmtId="0" fontId="13" fillId="6" borderId="0" xfId="0" applyFont="1" applyFill="1" applyBorder="1" applyAlignment="1">
      <alignment horizontal="center" vertical="center" wrapText="1"/>
    </xf>
    <xf numFmtId="0" fontId="14" fillId="2" borderId="0" xfId="0" applyFont="1" applyFill="1" applyBorder="1" applyAlignment="1">
      <alignment horizontal="center" vertical="center"/>
    </xf>
    <xf numFmtId="0" fontId="15" fillId="3" borderId="0" xfId="0" applyFont="1" applyFill="1" applyBorder="1" applyAlignment="1">
      <alignment horizontal="center" vertical="center"/>
    </xf>
    <xf numFmtId="0" fontId="13" fillId="6" borderId="0" xfId="0" applyFont="1" applyFill="1" applyBorder="1" applyAlignment="1">
      <alignment horizontal="left" vertical="center"/>
    </xf>
    <xf numFmtId="0" fontId="6" fillId="4" borderId="0" xfId="0" applyFont="1" applyFill="1" applyBorder="1" applyAlignment="1">
      <alignment horizontal="left" vertical="center" indent="1"/>
    </xf>
    <xf numFmtId="0" fontId="18" fillId="2" borderId="0" xfId="0" applyFont="1" applyFill="1" applyBorder="1"/>
    <xf numFmtId="0" fontId="16" fillId="8" borderId="0" xfId="0" applyFont="1" applyFill="1" applyBorder="1"/>
    <xf numFmtId="0" fontId="13" fillId="6" borderId="0" xfId="0" applyFont="1" applyFill="1" applyBorder="1" applyAlignment="1">
      <alignment horizontal="left" vertical="center" wrapText="1"/>
    </xf>
    <xf numFmtId="0" fontId="22" fillId="2" borderId="0" xfId="0" applyFont="1" applyFill="1" applyBorder="1" applyAlignment="1">
      <alignment horizontal="center" vertical="center"/>
    </xf>
    <xf numFmtId="0" fontId="13" fillId="6" borderId="0" xfId="0" applyFont="1" applyFill="1" applyBorder="1" applyAlignment="1">
      <alignment horizontal="left" vertical="top" wrapText="1"/>
    </xf>
    <xf numFmtId="0" fontId="18" fillId="2" borderId="0" xfId="0" applyFont="1" applyFill="1" applyBorder="1" applyAlignment="1">
      <alignment horizontal="left" vertical="center" indent="1"/>
    </xf>
    <xf numFmtId="0" fontId="23" fillId="3" borderId="0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A6D1A"/>
      <rgbColor rgb="FF800080"/>
      <rgbColor rgb="FF008080"/>
      <rgbColor rgb="FFC0C0C0"/>
      <rgbColor rgb="FF808080"/>
      <rgbColor rgb="FF9999FF"/>
      <rgbColor rgb="FF993366"/>
      <rgbColor rgb="FFFBF0D1"/>
      <rgbColor rgb="FFF9F9F9"/>
      <rgbColor rgb="FF6E1E33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BF8F2"/>
      <rgbColor rgb="FFCCFFCC"/>
      <rgbColor rgb="FFFFFF99"/>
      <rgbColor rgb="FF99CCFF"/>
      <rgbColor rgb="FFFF99CC"/>
      <rgbColor rgb="FFCC99FF"/>
      <rgbColor rgb="FFF2E1E6"/>
      <rgbColor rgb="FF4F81BD"/>
      <rgbColor rgb="FF33CCCC"/>
      <rgbColor rgb="FF99CC00"/>
      <rgbColor rgb="FFFFCC00"/>
      <rgbColor rgb="FFC9A227"/>
      <rgbColor rgb="FFFF6600"/>
      <rgbColor rgb="FF6B6B6B"/>
      <rgbColor rgb="FF878787"/>
      <rgbColor rgb="FF003366"/>
      <rgbColor rgb="FF8A9A5B"/>
      <rgbColor rgb="FF12142B"/>
      <rgbColor rgb="FF1A1A1A"/>
      <rgbColor rgb="FF993300"/>
      <rgbColor rgb="FF993366"/>
      <rgbColor rgb="FF333399"/>
      <rgbColor rgb="FF1B1F3B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Dashboard!$C$14</c:f>
              <c:strCache>
                <c:ptCount val="1"/>
                <c:pt idx="0">
                  <c:v>₹ / Month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invertIfNegative val="0"/>
          <c:dPt>
            <c:idx val="0"/>
            <c:invertIfNegative val="0"/>
            <c:bubble3D val="0"/>
            <c:spPr>
              <a:solidFill>
                <a:srgbClr val="1B1F3B"/>
              </a:solidFill>
              <a:ln w="9360">
                <a:solidFill>
                  <a:srgbClr val="F9F9F9"/>
                </a:solidFill>
                <a:round/>
              </a:ln>
            </c:spPr>
            <c:extLst>
              <c:ext xmlns:c16="http://schemas.microsoft.com/office/drawing/2014/chart" uri="{C3380CC4-5D6E-409C-BE32-E72D297353CC}">
                <c16:uniqueId val="{00000001-C9A0-4314-9EA0-27A2DF88003D}"/>
              </c:ext>
            </c:extLst>
          </c:dPt>
          <c:dPt>
            <c:idx val="1"/>
            <c:invertIfNegative val="0"/>
            <c:bubble3D val="0"/>
            <c:spPr>
              <a:solidFill>
                <a:srgbClr val="C9A227"/>
              </a:solidFill>
              <a:ln w="9360">
                <a:solidFill>
                  <a:srgbClr val="F9F9F9"/>
                </a:solidFill>
                <a:round/>
              </a:ln>
            </c:spPr>
            <c:extLst>
              <c:ext xmlns:c16="http://schemas.microsoft.com/office/drawing/2014/chart" uri="{C3380CC4-5D6E-409C-BE32-E72D297353CC}">
                <c16:uniqueId val="{00000003-C9A0-4314-9EA0-27A2DF88003D}"/>
              </c:ext>
            </c:extLst>
          </c:dPt>
          <c:dPt>
            <c:idx val="2"/>
            <c:invertIfNegative val="0"/>
            <c:bubble3D val="0"/>
            <c:spPr>
              <a:solidFill>
                <a:srgbClr val="6E1E33"/>
              </a:solidFill>
              <a:ln w="9360">
                <a:solidFill>
                  <a:srgbClr val="F9F9F9"/>
                </a:solidFill>
                <a:round/>
              </a:ln>
            </c:spPr>
            <c:extLst>
              <c:ext xmlns:c16="http://schemas.microsoft.com/office/drawing/2014/chart" uri="{C3380CC4-5D6E-409C-BE32-E72D297353CC}">
                <c16:uniqueId val="{00000005-C9A0-4314-9EA0-27A2DF88003D}"/>
              </c:ext>
            </c:extLst>
          </c:dPt>
          <c:dLbls>
            <c:dLbl>
              <c:idx val="0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1-C9A0-4314-9EA0-27A2DF88003D}"/>
                </c:ext>
              </c:extLst>
            </c:dLbl>
            <c:dLbl>
              <c:idx val="1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3-C9A0-4314-9EA0-27A2DF88003D}"/>
                </c:ext>
              </c:extLst>
            </c:dLbl>
            <c:dLbl>
              <c:idx val="2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5-C9A0-4314-9EA0-27A2DF88003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Dashboard!$B$15:$B$17</c:f>
              <c:strCache>
                <c:ptCount val="3"/>
                <c:pt idx="0">
                  <c:v>Tickets</c:v>
                </c:pt>
                <c:pt idx="1">
                  <c:v>Food &amp; Beverage</c:v>
                </c:pt>
                <c:pt idx="2">
                  <c:v>Advertisement</c:v>
                </c:pt>
              </c:strCache>
            </c:strRef>
          </c:cat>
          <c:val>
            <c:numRef>
              <c:f>Dashboard!$C$15:$C$17</c:f>
              <c:numCache>
                <c:formatCode>"Rs. "#,##0;"(Rs. "#,##0\);\-</c:formatCode>
                <c:ptCount val="3"/>
                <c:pt idx="0">
                  <c:v>952512.00000000023</c:v>
                </c:pt>
                <c:pt idx="1">
                  <c:v>1031657.142857143</c:v>
                </c:pt>
                <c:pt idx="2">
                  <c:v>224000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C9A0-4314-9EA0-27A2DF88003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60"/>
        <c:axId val="49489365"/>
        <c:axId val="7715161"/>
      </c:barChart>
      <c:catAx>
        <c:axId val="4948936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7715161"/>
        <c:crosses val="autoZero"/>
        <c:auto val="1"/>
        <c:lblAlgn val="ctr"/>
        <c:lblOffset val="100"/>
        <c:noMultiLvlLbl val="0"/>
      </c:catAx>
      <c:valAx>
        <c:axId val="7715161"/>
        <c:scaling>
          <c:orientation val="minMax"/>
        </c:scaling>
        <c:delete val="1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&quot;Rs. &quot;#,##0;&quot;(Rs. &quot;#,##0\);\-" sourceLinked="1"/>
        <c:majorTickMark val="none"/>
        <c:minorTickMark val="none"/>
        <c:tickLblPos val="nextTo"/>
        <c:crossAx val="49489365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autoTitleDeleted val="1"/>
    <c:plotArea>
      <c:layout/>
      <c:pieChart>
        <c:varyColors val="1"/>
        <c:ser>
          <c:idx val="0"/>
          <c:order val="0"/>
          <c:tx>
            <c:strRef>
              <c:f>Dashboard!$H$14</c:f>
              <c:strCache>
                <c:ptCount val="1"/>
                <c:pt idx="0">
                  <c:v>Share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dPt>
            <c:idx val="0"/>
            <c:bubble3D val="0"/>
            <c:spPr>
              <a:solidFill>
                <a:srgbClr val="C9A227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1-0491-46EF-9CAB-1EA9CDE4FA3D}"/>
              </c:ext>
            </c:extLst>
          </c:dPt>
          <c:dPt>
            <c:idx val="1"/>
            <c:bubble3D val="0"/>
            <c:spPr>
              <a:solidFill>
                <a:srgbClr val="1B1F3B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3-0491-46EF-9CAB-1EA9CDE4FA3D}"/>
              </c:ext>
            </c:extLst>
          </c:dPt>
          <c:dPt>
            <c:idx val="2"/>
            <c:bubble3D val="0"/>
            <c:spPr>
              <a:solidFill>
                <a:srgbClr val="6E1E33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5-0491-46EF-9CAB-1EA9CDE4FA3D}"/>
              </c:ext>
            </c:extLst>
          </c:dPt>
          <c:dLbls>
            <c:dLbl>
              <c:idx val="0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n-US"/>
                </a:p>
              </c:txPr>
              <c:dLblPos val="bestFit"/>
              <c:showLegendKey val="0"/>
              <c:showVal val="0"/>
              <c:showCatName val="0"/>
              <c:showSerName val="0"/>
              <c:showPercent val="1"/>
              <c:showBubbleSize val="1"/>
              <c:extLst>
                <c:ext xmlns:c16="http://schemas.microsoft.com/office/drawing/2014/chart" uri="{C3380CC4-5D6E-409C-BE32-E72D297353CC}">
                  <c16:uniqueId val="{00000001-0491-46EF-9CAB-1EA9CDE4FA3D}"/>
                </c:ext>
              </c:extLst>
            </c:dLbl>
            <c:dLbl>
              <c:idx val="1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n-US"/>
                </a:p>
              </c:txPr>
              <c:dLblPos val="bestFit"/>
              <c:showLegendKey val="0"/>
              <c:showVal val="0"/>
              <c:showCatName val="0"/>
              <c:showSerName val="0"/>
              <c:showPercent val="1"/>
              <c:showBubbleSize val="1"/>
              <c:extLst>
                <c:ext xmlns:c16="http://schemas.microsoft.com/office/drawing/2014/chart" uri="{C3380CC4-5D6E-409C-BE32-E72D297353CC}">
                  <c16:uniqueId val="{00000003-0491-46EF-9CAB-1EA9CDE4FA3D}"/>
                </c:ext>
              </c:extLst>
            </c:dLbl>
            <c:dLbl>
              <c:idx val="2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n-US"/>
                </a:p>
              </c:txPr>
              <c:dLblPos val="bestFit"/>
              <c:showLegendKey val="0"/>
              <c:showVal val="0"/>
              <c:showCatName val="0"/>
              <c:showSerName val="0"/>
              <c:showPercent val="1"/>
              <c:showBubbleSize val="1"/>
              <c:extLst>
                <c:ext xmlns:c16="http://schemas.microsoft.com/office/drawing/2014/chart" uri="{C3380CC4-5D6E-409C-BE32-E72D297353CC}">
                  <c16:uniqueId val="{00000005-0491-46EF-9CAB-1EA9CDE4FA3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n-US"/>
              </a:p>
            </c:txPr>
            <c:dLblPos val="bestFit"/>
            <c:showLegendKey val="0"/>
            <c:showVal val="0"/>
            <c:showCatName val="0"/>
            <c:showSerName val="0"/>
            <c:showPercent val="1"/>
            <c:showBubbleSize val="1"/>
            <c:separator>
</c:separator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Dashboard!$G$15:$G$17</c:f>
              <c:strCache>
                <c:ptCount val="3"/>
                <c:pt idx="0">
                  <c:v>Tickets</c:v>
                </c:pt>
                <c:pt idx="1">
                  <c:v>Food &amp; Beverage</c:v>
                </c:pt>
                <c:pt idx="2">
                  <c:v>Advertisement</c:v>
                </c:pt>
              </c:strCache>
            </c:strRef>
          </c:cat>
          <c:val>
            <c:numRef>
              <c:f>Dashboard!$H$15:$H$17</c:f>
              <c:numCache>
                <c:formatCode>0.0%</c:formatCode>
                <c:ptCount val="3"/>
                <c:pt idx="0">
                  <c:v>0.43135826034030522</c:v>
                </c:pt>
                <c:pt idx="1">
                  <c:v>0.4672002351786716</c:v>
                </c:pt>
                <c:pt idx="2">
                  <c:v>0.10144150448102318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0491-46EF-9CAB-1EA9CDE4FA3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 w="0">
          <a:noFill/>
        </a:ln>
      </c:spPr>
    </c:plotArea>
    <c:legend>
      <c:legendPos val="b"/>
      <c:layout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Dashboard!$K$14</c:f>
              <c:strCache>
                <c:ptCount val="1"/>
                <c:pt idx="0">
                  <c:v>Net Profit (₹)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invertIfNegative val="0"/>
          <c:dPt>
            <c:idx val="0"/>
            <c:invertIfNegative val="0"/>
            <c:bubble3D val="0"/>
            <c:spPr>
              <a:solidFill>
                <a:srgbClr val="1B1F3B"/>
              </a:solidFill>
              <a:ln w="9360">
                <a:solidFill>
                  <a:srgbClr val="F9F9F9"/>
                </a:solidFill>
                <a:round/>
              </a:ln>
            </c:spPr>
            <c:extLst>
              <c:ext xmlns:c16="http://schemas.microsoft.com/office/drawing/2014/chart" uri="{C3380CC4-5D6E-409C-BE32-E72D297353CC}">
                <c16:uniqueId val="{00000001-19B6-4534-9419-031F5E300F17}"/>
              </c:ext>
            </c:extLst>
          </c:dPt>
          <c:dPt>
            <c:idx val="1"/>
            <c:invertIfNegative val="0"/>
            <c:bubble3D val="0"/>
            <c:spPr>
              <a:solidFill>
                <a:srgbClr val="C9A227"/>
              </a:solidFill>
              <a:ln w="9360">
                <a:solidFill>
                  <a:srgbClr val="F9F9F9"/>
                </a:solidFill>
                <a:round/>
              </a:ln>
            </c:spPr>
            <c:extLst>
              <c:ext xmlns:c16="http://schemas.microsoft.com/office/drawing/2014/chart" uri="{C3380CC4-5D6E-409C-BE32-E72D297353CC}">
                <c16:uniqueId val="{00000003-19B6-4534-9419-031F5E300F17}"/>
              </c:ext>
            </c:extLst>
          </c:dPt>
          <c:dPt>
            <c:idx val="2"/>
            <c:invertIfNegative val="0"/>
            <c:bubble3D val="0"/>
            <c:spPr>
              <a:solidFill>
                <a:srgbClr val="6E1E33"/>
              </a:solidFill>
              <a:ln w="9360">
                <a:solidFill>
                  <a:srgbClr val="F9F9F9"/>
                </a:solidFill>
                <a:round/>
              </a:ln>
            </c:spPr>
            <c:extLst>
              <c:ext xmlns:c16="http://schemas.microsoft.com/office/drawing/2014/chart" uri="{C3380CC4-5D6E-409C-BE32-E72D297353CC}">
                <c16:uniqueId val="{00000005-19B6-4534-9419-031F5E300F17}"/>
              </c:ext>
            </c:extLst>
          </c:dPt>
          <c:dLbls>
            <c:dLbl>
              <c:idx val="0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1-19B6-4534-9419-031F5E300F17}"/>
                </c:ext>
              </c:extLst>
            </c:dLbl>
            <c:dLbl>
              <c:idx val="1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3-19B6-4534-9419-031F5E300F17}"/>
                </c:ext>
              </c:extLst>
            </c:dLbl>
            <c:dLbl>
              <c:idx val="2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5-19B6-4534-9419-031F5E300F17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Dashboard!$J$15:$J$17</c:f>
              <c:strCache>
                <c:ptCount val="3"/>
                <c:pt idx="0">
                  <c:v>Year 1</c:v>
                </c:pt>
                <c:pt idx="1">
                  <c:v>Year 2</c:v>
                </c:pt>
                <c:pt idx="2">
                  <c:v>Year 3</c:v>
                </c:pt>
              </c:strCache>
            </c:strRef>
          </c:cat>
          <c:val>
            <c:numRef>
              <c:f>Dashboard!$K$15:$K$17</c:f>
              <c:numCache>
                <c:formatCode>"Rs. "#,##0;"(Rs. "#,##0\);\-</c:formatCode>
                <c:ptCount val="3"/>
                <c:pt idx="0">
                  <c:v>11741829.120000005</c:v>
                </c:pt>
                <c:pt idx="1">
                  <c:v>12681175.449600006</c:v>
                </c:pt>
                <c:pt idx="2">
                  <c:v>13695669.485568007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19B6-4534-9419-031F5E300F1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60"/>
        <c:axId val="71473319"/>
        <c:axId val="54851940"/>
      </c:barChart>
      <c:catAx>
        <c:axId val="7147331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54851940"/>
        <c:crosses val="autoZero"/>
        <c:auto val="1"/>
        <c:lblAlgn val="ctr"/>
        <c:lblOffset val="100"/>
        <c:noMultiLvlLbl val="0"/>
      </c:catAx>
      <c:valAx>
        <c:axId val="54851940"/>
        <c:scaling>
          <c:orientation val="minMax"/>
        </c:scaling>
        <c:delete val="1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&quot;Rs. &quot;#,##0;&quot;(Rs. &quot;#,##0\);\-" sourceLinked="1"/>
        <c:majorTickMark val="none"/>
        <c:minorTickMark val="none"/>
        <c:tickLblPos val="nextTo"/>
        <c:crossAx val="71473319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autoTitleDeleted val="1"/>
    <c:plotArea>
      <c:layout/>
      <c:pieChart>
        <c:varyColors val="1"/>
        <c:ser>
          <c:idx val="0"/>
          <c:order val="0"/>
          <c:tx>
            <c:strRef>
              <c:f>Dashboard!$C$37</c:f>
              <c:strCache>
                <c:ptCount val="1"/>
                <c:pt idx="0">
                  <c:v>₹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dPt>
            <c:idx val="0"/>
            <c:bubble3D val="0"/>
            <c:spPr>
              <a:solidFill>
                <a:srgbClr val="C9A227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1-04A8-45E8-BBBA-F08A91D43122}"/>
              </c:ext>
            </c:extLst>
          </c:dPt>
          <c:dPt>
            <c:idx val="1"/>
            <c:bubble3D val="0"/>
            <c:spPr>
              <a:solidFill>
                <a:srgbClr val="1B1F3B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3-04A8-45E8-BBBA-F08A91D43122}"/>
              </c:ext>
            </c:extLst>
          </c:dPt>
          <c:dPt>
            <c:idx val="2"/>
            <c:bubble3D val="0"/>
            <c:spPr>
              <a:solidFill>
                <a:srgbClr val="6E1E33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5-04A8-45E8-BBBA-F08A91D43122}"/>
              </c:ext>
            </c:extLst>
          </c:dPt>
          <c:dPt>
            <c:idx val="3"/>
            <c:bubble3D val="0"/>
            <c:spPr>
              <a:solidFill>
                <a:srgbClr val="8A9A5B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7-04A8-45E8-BBBA-F08A91D43122}"/>
              </c:ext>
            </c:extLst>
          </c:dPt>
          <c:dLbls>
            <c:dLbl>
              <c:idx val="0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n-US"/>
                </a:p>
              </c:txPr>
              <c:dLblPos val="bestFit"/>
              <c:showLegendKey val="0"/>
              <c:showVal val="0"/>
              <c:showCatName val="0"/>
              <c:showSerName val="0"/>
              <c:showPercent val="1"/>
              <c:showBubbleSize val="1"/>
              <c:extLst>
                <c:ext xmlns:c16="http://schemas.microsoft.com/office/drawing/2014/chart" uri="{C3380CC4-5D6E-409C-BE32-E72D297353CC}">
                  <c16:uniqueId val="{00000001-04A8-45E8-BBBA-F08A91D43122}"/>
                </c:ext>
              </c:extLst>
            </c:dLbl>
            <c:dLbl>
              <c:idx val="1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n-US"/>
                </a:p>
              </c:txPr>
              <c:dLblPos val="bestFit"/>
              <c:showLegendKey val="0"/>
              <c:showVal val="0"/>
              <c:showCatName val="0"/>
              <c:showSerName val="0"/>
              <c:showPercent val="1"/>
              <c:showBubbleSize val="1"/>
              <c:extLst>
                <c:ext xmlns:c16="http://schemas.microsoft.com/office/drawing/2014/chart" uri="{C3380CC4-5D6E-409C-BE32-E72D297353CC}">
                  <c16:uniqueId val="{00000003-04A8-45E8-BBBA-F08A91D43122}"/>
                </c:ext>
              </c:extLst>
            </c:dLbl>
            <c:dLbl>
              <c:idx val="2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n-US"/>
                </a:p>
              </c:txPr>
              <c:dLblPos val="bestFit"/>
              <c:showLegendKey val="0"/>
              <c:showVal val="0"/>
              <c:showCatName val="0"/>
              <c:showSerName val="0"/>
              <c:showPercent val="1"/>
              <c:showBubbleSize val="1"/>
              <c:extLst>
                <c:ext xmlns:c16="http://schemas.microsoft.com/office/drawing/2014/chart" uri="{C3380CC4-5D6E-409C-BE32-E72D297353CC}">
                  <c16:uniqueId val="{00000005-04A8-45E8-BBBA-F08A91D43122}"/>
                </c:ext>
              </c:extLst>
            </c:dLbl>
            <c:dLbl>
              <c:idx val="3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n-US"/>
                </a:p>
              </c:txPr>
              <c:dLblPos val="bestFit"/>
              <c:showLegendKey val="0"/>
              <c:showVal val="0"/>
              <c:showCatName val="0"/>
              <c:showSerName val="0"/>
              <c:showPercent val="1"/>
              <c:showBubbleSize val="1"/>
              <c:extLst>
                <c:ext xmlns:c16="http://schemas.microsoft.com/office/drawing/2014/chart" uri="{C3380CC4-5D6E-409C-BE32-E72D297353CC}">
                  <c16:uniqueId val="{00000007-04A8-45E8-BBBA-F08A91D43122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n-US"/>
              </a:p>
            </c:txPr>
            <c:dLblPos val="bestFit"/>
            <c:showLegendKey val="0"/>
            <c:showVal val="0"/>
            <c:showCatName val="0"/>
            <c:showSerName val="0"/>
            <c:showPercent val="1"/>
            <c:showBubbleSize val="1"/>
            <c:separator>
</c:separator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Dashboard!$B$38:$B$41</c:f>
              <c:strCache>
                <c:ptCount val="4"/>
                <c:pt idx="0">
                  <c:v>Seating + Franchise Fee</c:v>
                </c:pt>
                <c:pt idx="1">
                  <c:v>Foyer / Lobby Fit-Out</c:v>
                </c:pt>
                <c:pt idx="2">
                  <c:v>GST @ 18%</c:v>
                </c:pt>
                <c:pt idx="3">
                  <c:v>Pre-Opening &amp; Working Capital</c:v>
                </c:pt>
              </c:strCache>
            </c:strRef>
          </c:cat>
          <c:val>
            <c:numRef>
              <c:f>Dashboard!$C$38:$C$41</c:f>
              <c:numCache>
                <c:formatCode>"Rs. "#,##0;"(Rs. "#,##0\);\-</c:formatCode>
                <c:ptCount val="4"/>
                <c:pt idx="0">
                  <c:v>24550000</c:v>
                </c:pt>
                <c:pt idx="1">
                  <c:v>6600000</c:v>
                </c:pt>
                <c:pt idx="2">
                  <c:v>5607000</c:v>
                </c:pt>
                <c:pt idx="3">
                  <c:v>1500000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04A8-45E8-BBBA-F08A91D4312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 w="0">
          <a:noFill/>
        </a:ln>
      </c:spPr>
    </c:plotArea>
    <c:legend>
      <c:legendPos val="b"/>
      <c:layout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18</xdr:row>
      <xdr:rowOff>0</xdr:rowOff>
    </xdr:from>
    <xdr:to>
      <xdr:col>4</xdr:col>
      <xdr:colOff>607680</xdr:colOff>
      <xdr:row>31</xdr:row>
      <xdr:rowOff>115200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6</xdr:col>
      <xdr:colOff>0</xdr:colOff>
      <xdr:row>18</xdr:row>
      <xdr:rowOff>0</xdr:rowOff>
    </xdr:from>
    <xdr:to>
      <xdr:col>8</xdr:col>
      <xdr:colOff>945360</xdr:colOff>
      <xdr:row>31</xdr:row>
      <xdr:rowOff>115200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9</xdr:col>
      <xdr:colOff>0</xdr:colOff>
      <xdr:row>18</xdr:row>
      <xdr:rowOff>0</xdr:rowOff>
    </xdr:from>
    <xdr:to>
      <xdr:col>13</xdr:col>
      <xdr:colOff>71280</xdr:colOff>
      <xdr:row>31</xdr:row>
      <xdr:rowOff>115200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1</xdr:col>
      <xdr:colOff>0</xdr:colOff>
      <xdr:row>42</xdr:row>
      <xdr:rowOff>0</xdr:rowOff>
    </xdr:from>
    <xdr:to>
      <xdr:col>4</xdr:col>
      <xdr:colOff>607680</xdr:colOff>
      <xdr:row>56</xdr:row>
      <xdr:rowOff>32760</xdr:rowOff>
    </xdr:to>
    <xdr:graphicFrame macro="">
      <xdr:nvGraphicFramePr>
        <xdr:cNvPr id="5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9A227"/>
  </sheetPr>
  <dimension ref="B2:L69"/>
  <sheetViews>
    <sheetView showGridLines="0" topLeftCell="A13" zoomScale="85" zoomScaleNormal="85" workbookViewId="0"/>
  </sheetViews>
  <sheetFormatPr defaultColWidth="8.69140625" defaultRowHeight="14.6" x14ac:dyDescent="0.4"/>
  <cols>
    <col min="1" max="1" width="2.4609375" customWidth="1"/>
    <col min="2" max="12" width="15" customWidth="1"/>
    <col min="13" max="13" width="2.4609375" customWidth="1"/>
  </cols>
  <sheetData>
    <row r="2" spans="2:12" ht="19.5" customHeight="1" x14ac:dyDescent="0.4">
      <c r="B2" s="14" t="s">
        <v>0</v>
      </c>
      <c r="C2" s="14"/>
      <c r="D2" s="14"/>
      <c r="E2" s="14"/>
      <c r="F2" s="14"/>
      <c r="G2" s="14"/>
      <c r="H2" s="14"/>
      <c r="I2" s="14"/>
      <c r="J2" s="14"/>
      <c r="K2" s="14"/>
      <c r="L2" s="14"/>
    </row>
    <row r="3" spans="2:12" ht="19.5" customHeight="1" x14ac:dyDescent="0.4">
      <c r="B3" s="14"/>
      <c r="C3" s="14"/>
      <c r="D3" s="14"/>
      <c r="E3" s="14"/>
      <c r="F3" s="14"/>
      <c r="G3" s="14"/>
      <c r="H3" s="14"/>
      <c r="I3" s="14"/>
      <c r="J3" s="14"/>
      <c r="K3" s="14"/>
      <c r="L3" s="14"/>
    </row>
    <row r="4" spans="2:12" ht="19.5" customHeight="1" x14ac:dyDescent="0.4">
      <c r="B4" s="14"/>
      <c r="C4" s="14"/>
      <c r="D4" s="14"/>
      <c r="E4" s="14"/>
      <c r="F4" s="14"/>
      <c r="G4" s="14"/>
      <c r="H4" s="14"/>
      <c r="I4" s="14"/>
      <c r="J4" s="14"/>
      <c r="K4" s="14"/>
      <c r="L4" s="14"/>
    </row>
    <row r="5" spans="2:12" ht="19.5" customHeight="1" x14ac:dyDescent="0.4">
      <c r="B5" s="13" t="s">
        <v>1</v>
      </c>
      <c r="C5" s="13"/>
      <c r="D5" s="13"/>
      <c r="E5" s="13"/>
      <c r="F5" s="13"/>
      <c r="G5" s="13"/>
      <c r="H5" s="13"/>
      <c r="I5" s="13"/>
      <c r="J5" s="13"/>
      <c r="K5" s="13"/>
      <c r="L5" s="13"/>
    </row>
    <row r="6" spans="2:12" ht="7.5" customHeight="1" x14ac:dyDescent="0.4"/>
    <row r="7" spans="2:12" ht="15.75" customHeight="1" x14ac:dyDescent="0.4">
      <c r="B7" s="12" t="s">
        <v>2</v>
      </c>
      <c r="C7" s="12"/>
      <c r="D7" s="12" t="s">
        <v>3</v>
      </c>
      <c r="E7" s="12"/>
      <c r="F7" s="12" t="s">
        <v>4</v>
      </c>
      <c r="G7" s="12"/>
      <c r="H7" s="12" t="s">
        <v>5</v>
      </c>
      <c r="I7" s="12"/>
      <c r="J7" s="12" t="s">
        <v>6</v>
      </c>
      <c r="K7" s="12"/>
    </row>
    <row r="9" spans="2:12" ht="25.5" customHeight="1" x14ac:dyDescent="0.4">
      <c r="B9" s="11">
        <f>Investment!E18</f>
        <v>38257000</v>
      </c>
      <c r="C9" s="11"/>
      <c r="D9" s="11">
        <f>'ROI Calculation'!D34</f>
        <v>11741829.120000005</v>
      </c>
      <c r="E9" s="11"/>
      <c r="F9" s="10">
        <f>'ROI Calculation'!D40</f>
        <v>0.30691975638445262</v>
      </c>
      <c r="G9" s="10"/>
      <c r="H9" s="9">
        <f>'ROI Calculation'!D41</f>
        <v>3.2581806130048658</v>
      </c>
      <c r="I9" s="9"/>
      <c r="J9" s="10">
        <f>'ROI Calculation'!G10</f>
        <v>0.34</v>
      </c>
      <c r="K9" s="10"/>
    </row>
    <row r="10" spans="2:12" ht="6" customHeight="1" x14ac:dyDescent="0.4"/>
    <row r="11" spans="2:12" ht="15.75" customHeight="1" x14ac:dyDescent="0.4">
      <c r="B11" s="8" t="s">
        <v>7</v>
      </c>
      <c r="C11" s="8"/>
      <c r="D11" s="8"/>
      <c r="E11" s="8"/>
      <c r="F11" s="8"/>
      <c r="G11" s="8"/>
      <c r="H11" s="8"/>
      <c r="I11" s="8"/>
      <c r="J11" s="8"/>
      <c r="K11" s="8"/>
      <c r="L11" s="8"/>
    </row>
    <row r="13" spans="2:12" ht="18" customHeight="1" x14ac:dyDescent="0.4">
      <c r="B13" s="7" t="s">
        <v>8</v>
      </c>
      <c r="C13" s="7"/>
      <c r="D13" s="7"/>
      <c r="E13" s="7"/>
      <c r="G13" s="7" t="s">
        <v>9</v>
      </c>
      <c r="H13" s="7"/>
      <c r="I13" s="7"/>
      <c r="J13" s="7" t="s">
        <v>10</v>
      </c>
      <c r="K13" s="7"/>
      <c r="L13" s="7"/>
    </row>
    <row r="14" spans="2:12" x14ac:dyDescent="0.4">
      <c r="B14" s="15" t="s">
        <v>11</v>
      </c>
      <c r="C14" s="15" t="s">
        <v>12</v>
      </c>
      <c r="G14" s="15" t="s">
        <v>11</v>
      </c>
      <c r="H14" s="15" t="s">
        <v>13</v>
      </c>
      <c r="J14" s="15" t="s">
        <v>14</v>
      </c>
      <c r="K14" s="15" t="s">
        <v>15</v>
      </c>
    </row>
    <row r="15" spans="2:12" x14ac:dyDescent="0.4">
      <c r="B15" s="16" t="s">
        <v>16</v>
      </c>
      <c r="C15" s="17">
        <f>'ROI Calculation'!J15</f>
        <v>952512.00000000023</v>
      </c>
      <c r="G15" s="16" t="s">
        <v>16</v>
      </c>
      <c r="H15" s="18">
        <f>C15/SUM($C$15:$C$17)</f>
        <v>0.43135826034030522</v>
      </c>
      <c r="J15" s="16" t="s">
        <v>17</v>
      </c>
      <c r="K15" s="17">
        <f>'ROI Calculation'!D34</f>
        <v>11741829.120000005</v>
      </c>
    </row>
    <row r="16" spans="2:12" x14ac:dyDescent="0.4">
      <c r="B16" s="16" t="s">
        <v>18</v>
      </c>
      <c r="C16" s="17">
        <f>'ROI Calculation'!E25</f>
        <v>1031657.142857143</v>
      </c>
      <c r="G16" s="16" t="s">
        <v>18</v>
      </c>
      <c r="H16" s="18">
        <f>C16/SUM($C$15:$C$17)</f>
        <v>0.4672002351786716</v>
      </c>
      <c r="J16" s="16" t="s">
        <v>19</v>
      </c>
      <c r="K16" s="17">
        <f>'ROI Calculation'!D36</f>
        <v>12681175.449600006</v>
      </c>
    </row>
    <row r="17" spans="2:11" x14ac:dyDescent="0.4">
      <c r="B17" s="16" t="s">
        <v>20</v>
      </c>
      <c r="C17" s="17">
        <f>'ROI Calculation'!K22</f>
        <v>224000</v>
      </c>
      <c r="G17" s="16" t="s">
        <v>20</v>
      </c>
      <c r="H17" s="18">
        <f>C17/SUM($C$15:$C$17)</f>
        <v>0.10144150448102318</v>
      </c>
      <c r="J17" s="16" t="s">
        <v>21</v>
      </c>
      <c r="K17" s="17">
        <f>'ROI Calculation'!D37</f>
        <v>13695669.485568007</v>
      </c>
    </row>
    <row r="36" spans="2:12" ht="18" customHeight="1" x14ac:dyDescent="0.4">
      <c r="B36" s="7" t="s">
        <v>22</v>
      </c>
      <c r="C36" s="7"/>
      <c r="D36" s="7"/>
      <c r="E36" s="7"/>
      <c r="G36" s="7" t="s">
        <v>23</v>
      </c>
      <c r="H36" s="7"/>
      <c r="I36" s="7"/>
      <c r="J36" s="7"/>
      <c r="K36" s="7"/>
      <c r="L36" s="7"/>
    </row>
    <row r="37" spans="2:12" ht="15" customHeight="1" x14ac:dyDescent="0.4">
      <c r="B37" s="15" t="s">
        <v>24</v>
      </c>
      <c r="C37" s="15" t="s">
        <v>25</v>
      </c>
      <c r="G37" s="6" t="s">
        <v>26</v>
      </c>
      <c r="H37" s="6"/>
      <c r="I37" s="6"/>
      <c r="J37" s="6"/>
      <c r="K37" s="6"/>
      <c r="L37" s="6"/>
    </row>
    <row r="38" spans="2:12" ht="15" customHeight="1" x14ac:dyDescent="0.4">
      <c r="B38" s="16" t="s">
        <v>27</v>
      </c>
      <c r="C38" s="17">
        <f>Investment!E12</f>
        <v>24550000</v>
      </c>
      <c r="G38" s="6"/>
      <c r="H38" s="6"/>
      <c r="I38" s="6"/>
      <c r="J38" s="6"/>
      <c r="K38" s="6"/>
      <c r="L38" s="6"/>
    </row>
    <row r="39" spans="2:12" ht="15" customHeight="1" x14ac:dyDescent="0.4">
      <c r="B39" s="16" t="s">
        <v>28</v>
      </c>
      <c r="C39" s="17">
        <f>Investment!E13</f>
        <v>6600000</v>
      </c>
      <c r="G39" s="6"/>
      <c r="H39" s="6"/>
      <c r="I39" s="6"/>
      <c r="J39" s="6"/>
      <c r="K39" s="6"/>
      <c r="L39" s="6"/>
    </row>
    <row r="40" spans="2:12" ht="15" customHeight="1" x14ac:dyDescent="0.4">
      <c r="B40" s="16" t="s">
        <v>29</v>
      </c>
      <c r="C40" s="17">
        <f>Investment!E15</f>
        <v>5607000</v>
      </c>
      <c r="G40" s="6"/>
      <c r="H40" s="6"/>
      <c r="I40" s="6"/>
      <c r="J40" s="6"/>
      <c r="K40" s="6"/>
      <c r="L40" s="6"/>
    </row>
    <row r="41" spans="2:12" ht="15" customHeight="1" x14ac:dyDescent="0.4">
      <c r="B41" s="16" t="s">
        <v>30</v>
      </c>
      <c r="C41" s="17">
        <f>Investment!E16</f>
        <v>1500000</v>
      </c>
      <c r="G41" s="6"/>
      <c r="H41" s="6"/>
      <c r="I41" s="6"/>
      <c r="J41" s="6"/>
      <c r="K41" s="6"/>
      <c r="L41" s="6"/>
    </row>
    <row r="42" spans="2:12" ht="15" customHeight="1" x14ac:dyDescent="0.4">
      <c r="G42" s="6"/>
      <c r="H42" s="6"/>
      <c r="I42" s="6"/>
      <c r="J42" s="6"/>
      <c r="K42" s="6"/>
      <c r="L42" s="6"/>
    </row>
    <row r="43" spans="2:12" ht="15" customHeight="1" x14ac:dyDescent="0.4">
      <c r="G43" s="6"/>
      <c r="H43" s="6"/>
      <c r="I43" s="6"/>
      <c r="J43" s="6"/>
      <c r="K43" s="6"/>
      <c r="L43" s="6"/>
    </row>
    <row r="44" spans="2:12" ht="15" customHeight="1" x14ac:dyDescent="0.4">
      <c r="G44" s="6"/>
      <c r="H44" s="6"/>
      <c r="I44" s="6"/>
      <c r="J44" s="6"/>
      <c r="K44" s="6"/>
      <c r="L44" s="6"/>
    </row>
    <row r="45" spans="2:12" ht="15" customHeight="1" x14ac:dyDescent="0.4">
      <c r="G45" s="6"/>
      <c r="H45" s="6"/>
      <c r="I45" s="6"/>
      <c r="J45" s="6"/>
      <c r="K45" s="6"/>
      <c r="L45" s="6"/>
    </row>
    <row r="46" spans="2:12" ht="15" customHeight="1" x14ac:dyDescent="0.4">
      <c r="G46" s="6"/>
      <c r="H46" s="6"/>
      <c r="I46" s="6"/>
      <c r="J46" s="6"/>
      <c r="K46" s="6"/>
      <c r="L46" s="6"/>
    </row>
    <row r="60" spans="2:12" ht="18" customHeight="1" x14ac:dyDescent="0.4">
      <c r="B60" s="5" t="s">
        <v>31</v>
      </c>
      <c r="C60" s="5"/>
      <c r="D60" s="5"/>
      <c r="E60" s="5"/>
      <c r="F60" s="5"/>
      <c r="G60" s="5"/>
      <c r="H60" s="5"/>
      <c r="I60" s="5"/>
      <c r="J60" s="5"/>
      <c r="K60" s="5"/>
      <c r="L60" s="5"/>
    </row>
    <row r="61" spans="2:12" ht="15.75" customHeight="1" x14ac:dyDescent="0.4">
      <c r="B61" s="4" t="s">
        <v>32</v>
      </c>
      <c r="C61" s="4"/>
      <c r="D61" s="4" t="s">
        <v>33</v>
      </c>
      <c r="E61" s="4"/>
      <c r="F61" s="4" t="s">
        <v>34</v>
      </c>
      <c r="G61" s="4"/>
      <c r="H61" s="4" t="s">
        <v>35</v>
      </c>
      <c r="I61" s="4"/>
      <c r="J61" s="4" t="s">
        <v>36</v>
      </c>
      <c r="K61" s="4"/>
      <c r="L61" s="4"/>
    </row>
    <row r="62" spans="2:12" ht="30" customHeight="1" x14ac:dyDescent="0.4">
      <c r="B62" s="3" t="s">
        <v>37</v>
      </c>
      <c r="C62" s="3"/>
      <c r="D62" s="2" t="s">
        <v>38</v>
      </c>
      <c r="E62" s="2"/>
      <c r="F62" s="2" t="s">
        <v>39</v>
      </c>
      <c r="G62" s="2"/>
      <c r="H62" s="1" t="s">
        <v>40</v>
      </c>
      <c r="I62" s="1"/>
      <c r="J62" s="43" t="s">
        <v>41</v>
      </c>
      <c r="K62" s="43"/>
      <c r="L62" s="43"/>
    </row>
    <row r="63" spans="2:12" ht="30" customHeight="1" x14ac:dyDescent="0.4">
      <c r="B63" s="3" t="s">
        <v>42</v>
      </c>
      <c r="C63" s="3"/>
      <c r="D63" s="2" t="s">
        <v>43</v>
      </c>
      <c r="E63" s="2"/>
      <c r="F63" s="2" t="s">
        <v>43</v>
      </c>
      <c r="G63" s="2"/>
      <c r="H63" s="1" t="s">
        <v>44</v>
      </c>
      <c r="I63" s="1"/>
      <c r="J63" s="43" t="s">
        <v>45</v>
      </c>
      <c r="K63" s="43"/>
      <c r="L63" s="43"/>
    </row>
    <row r="64" spans="2:12" ht="30" customHeight="1" x14ac:dyDescent="0.4">
      <c r="B64" s="3" t="s">
        <v>46</v>
      </c>
      <c r="C64" s="3"/>
      <c r="D64" s="2" t="s">
        <v>43</v>
      </c>
      <c r="E64" s="2"/>
      <c r="F64" s="2" t="s">
        <v>43</v>
      </c>
      <c r="G64" s="2"/>
      <c r="H64" s="1" t="s">
        <v>47</v>
      </c>
      <c r="I64" s="1"/>
      <c r="J64" s="43" t="s">
        <v>48</v>
      </c>
      <c r="K64" s="43"/>
      <c r="L64" s="43"/>
    </row>
    <row r="65" spans="2:12" ht="30" customHeight="1" x14ac:dyDescent="0.4">
      <c r="B65" s="3" t="s">
        <v>49</v>
      </c>
      <c r="C65" s="3"/>
      <c r="D65" s="2" t="s">
        <v>43</v>
      </c>
      <c r="E65" s="2"/>
      <c r="F65" s="2" t="s">
        <v>43</v>
      </c>
      <c r="G65" s="2"/>
      <c r="H65" s="1" t="s">
        <v>50</v>
      </c>
      <c r="I65" s="1"/>
      <c r="J65" s="43" t="s">
        <v>51</v>
      </c>
      <c r="K65" s="43"/>
      <c r="L65" s="43"/>
    </row>
    <row r="67" spans="2:12" ht="13.5" customHeight="1" x14ac:dyDescent="0.4">
      <c r="B67" s="44" t="s">
        <v>52</v>
      </c>
      <c r="C67" s="44"/>
      <c r="D67" s="44"/>
      <c r="E67" s="44"/>
      <c r="F67" s="44"/>
      <c r="G67" s="44"/>
      <c r="H67" s="44"/>
      <c r="I67" s="44"/>
      <c r="J67" s="44"/>
      <c r="K67" s="44"/>
      <c r="L67" s="44"/>
    </row>
    <row r="69" spans="2:12" ht="18" customHeight="1" x14ac:dyDescent="0.4">
      <c r="B69" s="45" t="s">
        <v>53</v>
      </c>
      <c r="C69" s="45"/>
      <c r="D69" s="45"/>
      <c r="E69" s="45"/>
      <c r="F69" s="45"/>
      <c r="G69" s="45"/>
      <c r="H69" s="45"/>
      <c r="I69" s="45"/>
      <c r="J69" s="45"/>
      <c r="K69" s="45"/>
      <c r="L69" s="45"/>
    </row>
  </sheetData>
  <mergeCells count="47">
    <mergeCell ref="B67:L67"/>
    <mergeCell ref="B69:L69"/>
    <mergeCell ref="B65:C65"/>
    <mergeCell ref="D65:E65"/>
    <mergeCell ref="F65:G65"/>
    <mergeCell ref="H65:I65"/>
    <mergeCell ref="J65:L65"/>
    <mergeCell ref="B64:C64"/>
    <mergeCell ref="D64:E64"/>
    <mergeCell ref="F64:G64"/>
    <mergeCell ref="H64:I64"/>
    <mergeCell ref="J64:L64"/>
    <mergeCell ref="B63:C63"/>
    <mergeCell ref="D63:E63"/>
    <mergeCell ref="F63:G63"/>
    <mergeCell ref="H63:I63"/>
    <mergeCell ref="J63:L63"/>
    <mergeCell ref="B62:C62"/>
    <mergeCell ref="D62:E62"/>
    <mergeCell ref="F62:G62"/>
    <mergeCell ref="H62:I62"/>
    <mergeCell ref="J62:L62"/>
    <mergeCell ref="G37:L46"/>
    <mergeCell ref="B60:L60"/>
    <mergeCell ref="B61:C61"/>
    <mergeCell ref="D61:E61"/>
    <mergeCell ref="F61:G61"/>
    <mergeCell ref="H61:I61"/>
    <mergeCell ref="J61:L61"/>
    <mergeCell ref="B11:L11"/>
    <mergeCell ref="B13:E13"/>
    <mergeCell ref="G13:I13"/>
    <mergeCell ref="J13:L13"/>
    <mergeCell ref="B36:E36"/>
    <mergeCell ref="G36:L36"/>
    <mergeCell ref="B9:C9"/>
    <mergeCell ref="D9:E9"/>
    <mergeCell ref="F9:G9"/>
    <mergeCell ref="H9:I9"/>
    <mergeCell ref="J9:K9"/>
    <mergeCell ref="B2:L4"/>
    <mergeCell ref="B5:L5"/>
    <mergeCell ref="B7:C7"/>
    <mergeCell ref="D7:E7"/>
    <mergeCell ref="F7:G7"/>
    <mergeCell ref="H7:I7"/>
    <mergeCell ref="J7:K7"/>
  </mergeCells>
  <pageMargins left="0.3" right="0.3" top="0.4" bottom="0.4" header="0.511811023622047" footer="0.511811023622047"/>
  <pageSetup paperSize="8" scale="58" orientation="landscape" horizontalDpi="300" verticalDpi="30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1B1F3B"/>
    <pageSetUpPr fitToPage="1"/>
  </sheetPr>
  <dimension ref="B1:K51"/>
  <sheetViews>
    <sheetView showGridLines="0" zoomScaleNormal="100" workbookViewId="0">
      <pane xSplit="1" ySplit="5" topLeftCell="B33" activePane="bottomRight" state="frozen"/>
      <selection pane="topRight" activeCell="B1" sqref="B1"/>
      <selection pane="bottomLeft" activeCell="A6" sqref="A6"/>
      <selection pane="bottomRight"/>
    </sheetView>
  </sheetViews>
  <sheetFormatPr defaultColWidth="8.69140625" defaultRowHeight="14.6" x14ac:dyDescent="0.4"/>
  <cols>
    <col min="1" max="1" width="2.4609375" customWidth="1"/>
    <col min="2" max="2" width="27" customWidth="1"/>
    <col min="3" max="3" width="13" customWidth="1"/>
    <col min="4" max="4" width="19" customWidth="1"/>
    <col min="5" max="5" width="13" customWidth="1"/>
    <col min="6" max="6" width="15" customWidth="1"/>
    <col min="7" max="7" width="12" customWidth="1"/>
    <col min="8" max="8" width="27" customWidth="1"/>
    <col min="9" max="9" width="13" customWidth="1"/>
    <col min="10" max="10" width="17" customWidth="1"/>
    <col min="11" max="11" width="18" customWidth="1"/>
    <col min="12" max="12" width="2.4609375" customWidth="1"/>
  </cols>
  <sheetData>
    <row r="1" spans="2:11" ht="25.5" customHeight="1" x14ac:dyDescent="0.4">
      <c r="B1" s="46" t="s">
        <v>54</v>
      </c>
      <c r="C1" s="46"/>
      <c r="D1" s="46"/>
      <c r="E1" s="46"/>
      <c r="F1" s="46"/>
      <c r="G1" s="46"/>
      <c r="H1" s="46"/>
      <c r="I1" s="46"/>
      <c r="J1" s="46"/>
      <c r="K1" s="46"/>
    </row>
    <row r="2" spans="2:11" ht="25.5" customHeight="1" x14ac:dyDescent="0.4">
      <c r="B2" s="46"/>
      <c r="C2" s="46"/>
      <c r="D2" s="46"/>
      <c r="E2" s="46"/>
      <c r="F2" s="46"/>
      <c r="G2" s="46"/>
      <c r="H2" s="46"/>
      <c r="I2" s="46"/>
      <c r="J2" s="46"/>
      <c r="K2" s="46"/>
    </row>
    <row r="3" spans="2:11" ht="18" customHeight="1" x14ac:dyDescent="0.4">
      <c r="B3" s="47" t="s">
        <v>55</v>
      </c>
      <c r="C3" s="47"/>
      <c r="D3" s="47"/>
      <c r="E3" s="47"/>
      <c r="F3" s="47"/>
      <c r="G3" s="47"/>
      <c r="H3" s="47"/>
      <c r="I3" s="47"/>
      <c r="J3" s="47"/>
      <c r="K3" s="47"/>
    </row>
    <row r="4" spans="2:11" ht="15.75" customHeight="1" x14ac:dyDescent="0.4">
      <c r="B4" s="48" t="s">
        <v>56</v>
      </c>
      <c r="C4" s="48"/>
      <c r="D4" s="48"/>
      <c r="E4" s="48"/>
      <c r="F4" s="48"/>
      <c r="G4" s="48"/>
      <c r="H4" s="48"/>
      <c r="I4" s="48"/>
      <c r="J4" s="48"/>
      <c r="K4" s="48"/>
    </row>
    <row r="5" spans="2:11" ht="6" customHeight="1" x14ac:dyDescent="0.4"/>
    <row r="6" spans="2:11" ht="19.5" customHeight="1" x14ac:dyDescent="0.4">
      <c r="B6" s="49" t="s">
        <v>57</v>
      </c>
      <c r="C6" s="49"/>
      <c r="D6" s="49"/>
      <c r="E6" s="49"/>
      <c r="F6" s="49"/>
      <c r="G6" s="49"/>
      <c r="H6" s="49"/>
      <c r="I6" s="49"/>
      <c r="J6" s="49"/>
      <c r="K6" s="49"/>
    </row>
    <row r="7" spans="2:11" ht="25.5" customHeight="1" x14ac:dyDescent="0.4">
      <c r="B7" s="19" t="s">
        <v>58</v>
      </c>
      <c r="C7" s="19" t="s">
        <v>59</v>
      </c>
      <c r="D7" s="19" t="s">
        <v>60</v>
      </c>
      <c r="E7" s="19" t="s">
        <v>61</v>
      </c>
      <c r="F7" s="19" t="s">
        <v>62</v>
      </c>
      <c r="G7" s="19" t="s">
        <v>63</v>
      </c>
      <c r="H7" s="19" t="s">
        <v>64</v>
      </c>
      <c r="I7" s="19" t="s">
        <v>65</v>
      </c>
      <c r="J7" s="19" t="s">
        <v>66</v>
      </c>
      <c r="K7" s="19" t="s">
        <v>67</v>
      </c>
    </row>
    <row r="8" spans="2:11" x14ac:dyDescent="0.4">
      <c r="B8" s="16" t="s">
        <v>68</v>
      </c>
      <c r="C8" s="20">
        <v>200</v>
      </c>
      <c r="D8" s="20">
        <v>5</v>
      </c>
      <c r="E8" s="20">
        <v>18</v>
      </c>
      <c r="F8" s="21">
        <f>C8*D8*E8</f>
        <v>18000</v>
      </c>
      <c r="G8" s="22">
        <v>0.2</v>
      </c>
      <c r="H8" s="21">
        <f>F8*G8</f>
        <v>3600</v>
      </c>
      <c r="I8" s="23">
        <v>220</v>
      </c>
      <c r="J8" s="24">
        <f>I8*H8</f>
        <v>792000</v>
      </c>
      <c r="K8" s="24">
        <f>J8*12</f>
        <v>9504000</v>
      </c>
    </row>
    <row r="9" spans="2:11" x14ac:dyDescent="0.4">
      <c r="B9" s="16" t="s">
        <v>69</v>
      </c>
      <c r="C9" s="21">
        <f>C8</f>
        <v>200</v>
      </c>
      <c r="D9" s="20">
        <v>5</v>
      </c>
      <c r="E9" s="20">
        <v>12</v>
      </c>
      <c r="F9" s="21">
        <f>C9*D9*E9</f>
        <v>12000</v>
      </c>
      <c r="G9" s="22">
        <v>0.55000000000000004</v>
      </c>
      <c r="H9" s="21">
        <f>F9*G9</f>
        <v>6600.0000000000009</v>
      </c>
      <c r="I9" s="23">
        <v>320</v>
      </c>
      <c r="J9" s="24">
        <f>I9*H9</f>
        <v>2112000.0000000005</v>
      </c>
      <c r="K9" s="24">
        <f>J9*12</f>
        <v>25344000.000000007</v>
      </c>
    </row>
    <row r="10" spans="2:11" x14ac:dyDescent="0.4">
      <c r="B10" s="25" t="s">
        <v>70</v>
      </c>
      <c r="F10" s="26">
        <f>SUM(F8:F9)</f>
        <v>30000</v>
      </c>
      <c r="G10" s="27">
        <f>(H8+H9)/F10</f>
        <v>0.34</v>
      </c>
      <c r="H10" s="26">
        <f>SUM(H8:H9)</f>
        <v>10200</v>
      </c>
      <c r="J10" s="28">
        <f>SUM(J8:J9)</f>
        <v>2904000.0000000005</v>
      </c>
      <c r="K10" s="28">
        <f>SUM(K8:K9)</f>
        <v>34848000.000000007</v>
      </c>
    </row>
    <row r="11" spans="2:11" x14ac:dyDescent="0.4">
      <c r="B11" s="16" t="s">
        <v>71</v>
      </c>
      <c r="I11" s="22">
        <v>0.18</v>
      </c>
      <c r="J11" s="24">
        <f>J10*I11</f>
        <v>522720.00000000006</v>
      </c>
      <c r="K11" s="24">
        <f>J11*12</f>
        <v>6272640.0000000009</v>
      </c>
    </row>
    <row r="12" spans="2:11" x14ac:dyDescent="0.4">
      <c r="B12" s="16" t="s">
        <v>72</v>
      </c>
      <c r="G12" s="29" t="s">
        <v>73</v>
      </c>
      <c r="I12" s="22">
        <v>0.5</v>
      </c>
      <c r="J12" s="24">
        <f>(J10-J11)*I12</f>
        <v>1190640.0000000002</v>
      </c>
      <c r="K12" s="24">
        <f>J12*12</f>
        <v>14287680.000000004</v>
      </c>
    </row>
    <row r="13" spans="2:11" x14ac:dyDescent="0.4">
      <c r="B13" s="25" t="s">
        <v>74</v>
      </c>
      <c r="I13" s="25"/>
      <c r="J13" s="28">
        <f>SUM(J11:J12)</f>
        <v>1713360.0000000002</v>
      </c>
      <c r="K13" s="28">
        <f>SUM(K11:K12)</f>
        <v>20560320.000000004</v>
      </c>
    </row>
    <row r="14" spans="2:11" x14ac:dyDescent="0.4">
      <c r="B14" s="25" t="s">
        <v>75</v>
      </c>
      <c r="H14" s="30" t="s">
        <v>76</v>
      </c>
      <c r="J14" s="28">
        <f>J10-J13</f>
        <v>1190640.0000000002</v>
      </c>
      <c r="K14" s="28">
        <f>K10-K13</f>
        <v>14287680.000000004</v>
      </c>
    </row>
    <row r="15" spans="2:11" ht="18" customHeight="1" x14ac:dyDescent="0.4">
      <c r="B15" s="50" t="s">
        <v>77</v>
      </c>
      <c r="C15" s="50"/>
      <c r="H15" s="31" t="s">
        <v>78</v>
      </c>
      <c r="I15" s="22">
        <v>0.8</v>
      </c>
      <c r="J15" s="32">
        <f>J14*I15</f>
        <v>952512.00000000023</v>
      </c>
      <c r="K15" s="32">
        <f>J15*12</f>
        <v>11430144.000000004</v>
      </c>
    </row>
    <row r="17" spans="2:11" ht="19.5" customHeight="1" x14ac:dyDescent="0.4">
      <c r="B17" s="49" t="s">
        <v>79</v>
      </c>
      <c r="C17" s="49"/>
      <c r="D17" s="49"/>
      <c r="E17" s="49"/>
      <c r="H17" s="49" t="s">
        <v>80</v>
      </c>
      <c r="I17" s="49"/>
      <c r="J17" s="49"/>
      <c r="K17" s="49"/>
    </row>
    <row r="18" spans="2:11" ht="15.75" customHeight="1" x14ac:dyDescent="0.4">
      <c r="B18" s="15" t="s">
        <v>58</v>
      </c>
      <c r="C18" s="15" t="s">
        <v>81</v>
      </c>
      <c r="D18" s="15" t="s">
        <v>82</v>
      </c>
      <c r="E18" s="15" t="s">
        <v>83</v>
      </c>
      <c r="H18" s="15" t="s">
        <v>58</v>
      </c>
      <c r="I18" s="15" t="s">
        <v>81</v>
      </c>
      <c r="J18" s="15" t="s">
        <v>82</v>
      </c>
      <c r="K18" s="15" t="s">
        <v>83</v>
      </c>
    </row>
    <row r="19" spans="2:11" x14ac:dyDescent="0.4">
      <c r="B19" s="16" t="s">
        <v>84</v>
      </c>
      <c r="C19" s="20">
        <v>0</v>
      </c>
      <c r="D19" s="24">
        <f>C8*99</f>
        <v>19800</v>
      </c>
      <c r="E19" s="24">
        <f>D19*C19</f>
        <v>0</v>
      </c>
      <c r="H19" s="16" t="s">
        <v>85</v>
      </c>
      <c r="I19" s="20">
        <v>40</v>
      </c>
      <c r="J19" s="23">
        <v>10000</v>
      </c>
      <c r="K19" s="24">
        <f>J19*I19</f>
        <v>400000</v>
      </c>
    </row>
    <row r="20" spans="2:11" x14ac:dyDescent="0.4">
      <c r="B20" s="16" t="s">
        <v>86</v>
      </c>
      <c r="C20" s="21">
        <f>H10</f>
        <v>10200</v>
      </c>
      <c r="D20" s="23">
        <v>180</v>
      </c>
      <c r="E20" s="24">
        <f>D20*C20</f>
        <v>1836000</v>
      </c>
      <c r="H20" s="16" t="s">
        <v>87</v>
      </c>
      <c r="J20" s="22">
        <v>0.3</v>
      </c>
      <c r="K20" s="24">
        <f>K19*J20</f>
        <v>120000</v>
      </c>
    </row>
    <row r="21" spans="2:11" x14ac:dyDescent="0.4">
      <c r="B21" s="25" t="s">
        <v>88</v>
      </c>
      <c r="E21" s="28">
        <f>SUM(E19:E20)</f>
        <v>1836000</v>
      </c>
      <c r="H21" s="25" t="s">
        <v>89</v>
      </c>
      <c r="K21" s="28">
        <f>K19-K20</f>
        <v>280000</v>
      </c>
    </row>
    <row r="22" spans="2:11" x14ac:dyDescent="0.4">
      <c r="B22" s="16" t="s">
        <v>90</v>
      </c>
      <c r="C22" s="22">
        <v>0.05</v>
      </c>
      <c r="E22" s="24">
        <f>E21*C22/(1+C22)</f>
        <v>87428.57142857142</v>
      </c>
      <c r="H22" s="33" t="s">
        <v>91</v>
      </c>
      <c r="J22" s="22">
        <v>0.8</v>
      </c>
      <c r="K22" s="32">
        <f>K21*J22</f>
        <v>224000</v>
      </c>
    </row>
    <row r="23" spans="2:11" x14ac:dyDescent="0.4">
      <c r="B23" s="16" t="s">
        <v>92</v>
      </c>
      <c r="C23" s="22">
        <v>0.25</v>
      </c>
      <c r="E23" s="24">
        <f>E21*C23</f>
        <v>459000</v>
      </c>
    </row>
    <row r="24" spans="2:11" x14ac:dyDescent="0.4">
      <c r="B24" s="25" t="s">
        <v>93</v>
      </c>
      <c r="E24" s="28">
        <f>E21-E22-E23</f>
        <v>1289571.4285714286</v>
      </c>
    </row>
    <row r="25" spans="2:11" ht="18" customHeight="1" x14ac:dyDescent="0.4">
      <c r="B25" s="50" t="s">
        <v>94</v>
      </c>
      <c r="C25" s="50"/>
      <c r="D25" s="22">
        <v>0.8</v>
      </c>
      <c r="E25" s="32">
        <f>E24*D25</f>
        <v>1031657.142857143</v>
      </c>
    </row>
    <row r="27" spans="2:11" ht="19.5" customHeight="1" x14ac:dyDescent="0.4">
      <c r="B27" s="49" t="s">
        <v>95</v>
      </c>
      <c r="C27" s="49"/>
      <c r="D27" s="49"/>
      <c r="E27" s="49"/>
      <c r="H27" s="49" t="s">
        <v>96</v>
      </c>
      <c r="I27" s="49"/>
      <c r="J27" s="49"/>
      <c r="K27" s="49"/>
    </row>
    <row r="28" spans="2:11" ht="15.75" customHeight="1" x14ac:dyDescent="0.4">
      <c r="B28" s="16" t="s">
        <v>97</v>
      </c>
      <c r="D28" s="20">
        <v>3</v>
      </c>
      <c r="H28" s="15" t="s">
        <v>58</v>
      </c>
      <c r="I28" s="15" t="s">
        <v>98</v>
      </c>
      <c r="J28" s="15" t="s">
        <v>99</v>
      </c>
    </row>
    <row r="29" spans="2:11" x14ac:dyDescent="0.4">
      <c r="B29" s="16" t="s">
        <v>100</v>
      </c>
      <c r="D29" s="21">
        <f>C8</f>
        <v>200</v>
      </c>
      <c r="H29" s="16" t="s">
        <v>101</v>
      </c>
      <c r="I29" s="23">
        <v>500000</v>
      </c>
      <c r="J29" s="24">
        <f t="shared" ref="J29:J40" si="0">I29*12</f>
        <v>6000000</v>
      </c>
    </row>
    <row r="30" spans="2:11" x14ac:dyDescent="0.4">
      <c r="B30" s="16" t="s">
        <v>102</v>
      </c>
      <c r="D30" s="34">
        <f>G10</f>
        <v>0.34</v>
      </c>
      <c r="H30" s="16" t="s">
        <v>103</v>
      </c>
      <c r="I30" s="23">
        <v>80000</v>
      </c>
      <c r="J30" s="24">
        <f t="shared" si="0"/>
        <v>960000</v>
      </c>
    </row>
    <row r="31" spans="2:11" x14ac:dyDescent="0.4">
      <c r="B31" s="16" t="s">
        <v>104</v>
      </c>
      <c r="D31" s="24">
        <f>J10/H10</f>
        <v>284.70588235294122</v>
      </c>
      <c r="H31" s="16" t="s">
        <v>105</v>
      </c>
      <c r="I31" s="23">
        <v>15000</v>
      </c>
      <c r="J31" s="24">
        <f t="shared" si="0"/>
        <v>180000</v>
      </c>
    </row>
    <row r="32" spans="2:11" x14ac:dyDescent="0.4">
      <c r="H32" s="16" t="s">
        <v>106</v>
      </c>
      <c r="I32" s="23">
        <v>180000</v>
      </c>
      <c r="J32" s="24">
        <f t="shared" si="0"/>
        <v>2160000</v>
      </c>
    </row>
    <row r="33" spans="2:10" x14ac:dyDescent="0.4">
      <c r="B33" s="35" t="s">
        <v>107</v>
      </c>
      <c r="D33" s="24">
        <f>I49</f>
        <v>978485.76000000024</v>
      </c>
      <c r="H33" s="16" t="s">
        <v>108</v>
      </c>
      <c r="I33" s="23">
        <v>40000</v>
      </c>
      <c r="J33" s="24">
        <f t="shared" si="0"/>
        <v>480000</v>
      </c>
    </row>
    <row r="34" spans="2:10" x14ac:dyDescent="0.4">
      <c r="B34" s="35" t="s">
        <v>109</v>
      </c>
      <c r="D34" s="24">
        <f>J49</f>
        <v>11741829.120000005</v>
      </c>
      <c r="H34" s="16" t="s">
        <v>110</v>
      </c>
      <c r="I34" s="23">
        <v>15000</v>
      </c>
      <c r="J34" s="24">
        <f t="shared" si="0"/>
        <v>180000</v>
      </c>
    </row>
    <row r="35" spans="2:10" x14ac:dyDescent="0.4">
      <c r="B35" s="16" t="s">
        <v>111</v>
      </c>
      <c r="D35" s="22">
        <v>0.08</v>
      </c>
      <c r="H35" s="16" t="s">
        <v>112</v>
      </c>
      <c r="I35" s="23">
        <v>50000</v>
      </c>
      <c r="J35" s="24">
        <f t="shared" si="0"/>
        <v>600000</v>
      </c>
    </row>
    <row r="36" spans="2:10" x14ac:dyDescent="0.4">
      <c r="B36" s="35" t="s">
        <v>113</v>
      </c>
      <c r="D36" s="24">
        <f>D34*(1+D35)</f>
        <v>12681175.449600006</v>
      </c>
      <c r="H36" s="16" t="s">
        <v>114</v>
      </c>
      <c r="I36" s="23">
        <v>50000</v>
      </c>
      <c r="J36" s="24">
        <f t="shared" si="0"/>
        <v>600000</v>
      </c>
    </row>
    <row r="37" spans="2:10" x14ac:dyDescent="0.4">
      <c r="B37" s="35" t="s">
        <v>115</v>
      </c>
      <c r="D37" s="24">
        <f>D36*(1+D35)</f>
        <v>13695669.485568007</v>
      </c>
      <c r="H37" s="16" t="s">
        <v>116</v>
      </c>
      <c r="I37" s="23">
        <v>150000</v>
      </c>
      <c r="J37" s="24">
        <f t="shared" si="0"/>
        <v>1800000</v>
      </c>
    </row>
    <row r="38" spans="2:10" x14ac:dyDescent="0.4">
      <c r="H38" s="16" t="s">
        <v>117</v>
      </c>
      <c r="I38" s="23">
        <v>60000</v>
      </c>
      <c r="J38" s="24">
        <f t="shared" si="0"/>
        <v>720000</v>
      </c>
    </row>
    <row r="39" spans="2:10" x14ac:dyDescent="0.4">
      <c r="B39" s="51" t="s">
        <v>118</v>
      </c>
      <c r="C39" s="51"/>
      <c r="D39" s="28">
        <f>Investment!E18</f>
        <v>38257000</v>
      </c>
      <c r="H39" s="16" t="s">
        <v>119</v>
      </c>
      <c r="I39" s="23">
        <v>50000</v>
      </c>
      <c r="J39" s="24">
        <f t="shared" si="0"/>
        <v>600000</v>
      </c>
    </row>
    <row r="40" spans="2:10" ht="18" customHeight="1" x14ac:dyDescent="0.4">
      <c r="B40" s="50" t="s">
        <v>120</v>
      </c>
      <c r="C40" s="50"/>
      <c r="D40" s="36">
        <f>D34/D39</f>
        <v>0.30691975638445262</v>
      </c>
      <c r="H40" s="16" t="s">
        <v>121</v>
      </c>
      <c r="I40" s="24">
        <f>(J15+E25)*0.02</f>
        <v>39683.382857142868</v>
      </c>
      <c r="J40" s="24">
        <f t="shared" si="0"/>
        <v>476200.59428571444</v>
      </c>
    </row>
    <row r="41" spans="2:10" ht="18" customHeight="1" x14ac:dyDescent="0.4">
      <c r="B41" s="50" t="s">
        <v>5</v>
      </c>
      <c r="C41" s="50"/>
      <c r="D41" s="37">
        <f>D39/D34</f>
        <v>3.2581806130048658</v>
      </c>
      <c r="H41" s="25" t="s">
        <v>122</v>
      </c>
      <c r="I41" s="28">
        <f>SUM(I29:I40)</f>
        <v>1229683.3828571429</v>
      </c>
      <c r="J41" s="28">
        <f>SUM(J29:J40)</f>
        <v>14756200.594285715</v>
      </c>
    </row>
    <row r="43" spans="2:10" ht="19.5" customHeight="1" x14ac:dyDescent="0.4">
      <c r="H43" s="49" t="s">
        <v>123</v>
      </c>
      <c r="I43" s="49"/>
      <c r="J43" s="49"/>
    </row>
    <row r="44" spans="2:10" ht="15.75" customHeight="1" x14ac:dyDescent="0.4">
      <c r="H44" s="15" t="s">
        <v>58</v>
      </c>
      <c r="I44" s="15" t="s">
        <v>98</v>
      </c>
      <c r="J44" s="15" t="s">
        <v>99</v>
      </c>
    </row>
    <row r="45" spans="2:10" x14ac:dyDescent="0.4">
      <c r="H45" s="16" t="s">
        <v>124</v>
      </c>
      <c r="I45" s="24">
        <f>J15</f>
        <v>952512.00000000023</v>
      </c>
      <c r="J45" s="24">
        <f>I45*12</f>
        <v>11430144.000000004</v>
      </c>
    </row>
    <row r="46" spans="2:10" x14ac:dyDescent="0.4">
      <c r="H46" s="16" t="s">
        <v>125</v>
      </c>
      <c r="I46" s="24">
        <f>E25</f>
        <v>1031657.142857143</v>
      </c>
      <c r="J46" s="24">
        <f>I46*12</f>
        <v>12379885.714285716</v>
      </c>
    </row>
    <row r="47" spans="2:10" x14ac:dyDescent="0.4">
      <c r="H47" s="16" t="s">
        <v>126</v>
      </c>
      <c r="I47" s="24">
        <f>K22</f>
        <v>224000</v>
      </c>
      <c r="J47" s="24">
        <f>I47*12</f>
        <v>2688000</v>
      </c>
    </row>
    <row r="48" spans="2:10" x14ac:dyDescent="0.4">
      <c r="H48" s="25" t="s">
        <v>127</v>
      </c>
      <c r="I48" s="28">
        <f>SUM(I45:I47)</f>
        <v>2208169.1428571432</v>
      </c>
      <c r="J48" s="28">
        <f>SUM(J45:J47)</f>
        <v>26498029.71428572</v>
      </c>
    </row>
    <row r="49" spans="2:11" ht="18" customHeight="1" x14ac:dyDescent="0.4">
      <c r="H49" s="33" t="s">
        <v>128</v>
      </c>
      <c r="I49" s="32">
        <f>I48-I41</f>
        <v>978485.76000000024</v>
      </c>
      <c r="J49" s="32">
        <f>J48-J41</f>
        <v>11741829.120000005</v>
      </c>
    </row>
    <row r="51" spans="2:11" ht="24" customHeight="1" x14ac:dyDescent="0.4">
      <c r="B51" s="52" t="s">
        <v>129</v>
      </c>
      <c r="C51" s="52"/>
      <c r="D51" s="52"/>
      <c r="E51" s="52"/>
      <c r="F51" s="52"/>
      <c r="G51" s="52"/>
      <c r="H51" s="52"/>
      <c r="I51" s="52"/>
      <c r="J51" s="52"/>
      <c r="K51" s="52"/>
    </row>
  </sheetData>
  <mergeCells count="15">
    <mergeCell ref="B39:C39"/>
    <mergeCell ref="B40:C40"/>
    <mergeCell ref="B41:C41"/>
    <mergeCell ref="H43:J43"/>
    <mergeCell ref="B51:K51"/>
    <mergeCell ref="B17:E17"/>
    <mergeCell ref="H17:K17"/>
    <mergeCell ref="B25:C25"/>
    <mergeCell ref="B27:E27"/>
    <mergeCell ref="H27:K27"/>
    <mergeCell ref="B1:K2"/>
    <mergeCell ref="B3:K3"/>
    <mergeCell ref="B4:K4"/>
    <mergeCell ref="B6:K6"/>
    <mergeCell ref="B15:C15"/>
  </mergeCells>
  <pageMargins left="0.3" right="0.3" top="0.4" bottom="0.4" header="0.511811023622047" footer="0.511811023622047"/>
  <pageSetup paperSize="8" fitToHeight="0" orientation="landscape" horizontalDpi="300" verticalDpi="300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6E1E33"/>
    <pageSetUpPr fitToPage="1"/>
  </sheetPr>
  <dimension ref="B1:H23"/>
  <sheetViews>
    <sheetView showGridLines="0" zoomScaleNormal="100" workbookViewId="0">
      <pane xSplit="1" ySplit="5" topLeftCell="B12" activePane="bottomRight" state="frozen"/>
      <selection pane="topRight" activeCell="B1" sqref="B1"/>
      <selection pane="bottomLeft" activeCell="A6" sqref="A6"/>
      <selection pane="bottomRight"/>
    </sheetView>
  </sheetViews>
  <sheetFormatPr defaultColWidth="8.69140625" defaultRowHeight="14.6" x14ac:dyDescent="0.4"/>
  <cols>
    <col min="1" max="1" width="2.4609375" customWidth="1"/>
    <col min="2" max="2" width="30" customWidth="1"/>
    <col min="3" max="3" width="16" customWidth="1"/>
    <col min="4" max="4" width="15" customWidth="1"/>
    <col min="5" max="5" width="18" customWidth="1"/>
    <col min="6" max="6" width="3" customWidth="1"/>
    <col min="7" max="7" width="20" customWidth="1"/>
    <col min="8" max="8" width="15" customWidth="1"/>
    <col min="9" max="9" width="2.4609375" customWidth="1"/>
  </cols>
  <sheetData>
    <row r="1" spans="2:8" ht="25.5" customHeight="1" x14ac:dyDescent="0.4">
      <c r="B1" s="53" t="s">
        <v>130</v>
      </c>
      <c r="C1" s="53"/>
      <c r="D1" s="53"/>
      <c r="E1" s="53"/>
      <c r="F1" s="53"/>
      <c r="G1" s="53"/>
      <c r="H1" s="53"/>
    </row>
    <row r="2" spans="2:8" ht="25.5" customHeight="1" x14ac:dyDescent="0.4">
      <c r="B2" s="53"/>
      <c r="C2" s="53"/>
      <c r="D2" s="53"/>
      <c r="E2" s="53"/>
      <c r="F2" s="53"/>
      <c r="G2" s="53"/>
      <c r="H2" s="53"/>
    </row>
    <row r="3" spans="2:8" ht="18" customHeight="1" x14ac:dyDescent="0.4">
      <c r="B3" s="47" t="s">
        <v>131</v>
      </c>
      <c r="C3" s="47"/>
      <c r="D3" s="47"/>
      <c r="E3" s="47"/>
      <c r="F3" s="47"/>
      <c r="G3" s="47"/>
      <c r="H3" s="47"/>
    </row>
    <row r="4" spans="2:8" ht="15.75" customHeight="1" x14ac:dyDescent="0.4">
      <c r="B4" s="48" t="s">
        <v>132</v>
      </c>
      <c r="C4" s="48"/>
      <c r="D4" s="48"/>
      <c r="E4" s="48"/>
      <c r="F4" s="48"/>
      <c r="G4" s="48"/>
      <c r="H4" s="48"/>
    </row>
    <row r="5" spans="2:8" ht="6" customHeight="1" x14ac:dyDescent="0.4"/>
    <row r="6" spans="2:8" ht="19.5" customHeight="1" x14ac:dyDescent="0.4">
      <c r="B6" s="49" t="s">
        <v>133</v>
      </c>
      <c r="C6" s="49"/>
      <c r="D6" s="49"/>
      <c r="E6" s="49"/>
      <c r="G6" s="7" t="s">
        <v>134</v>
      </c>
      <c r="H6" s="7"/>
    </row>
    <row r="7" spans="2:8" ht="25.5" customHeight="1" x14ac:dyDescent="0.4">
      <c r="B7" s="19" t="s">
        <v>135</v>
      </c>
      <c r="C7" s="19" t="s">
        <v>136</v>
      </c>
      <c r="D7" s="19" t="s">
        <v>137</v>
      </c>
      <c r="E7" s="19" t="s">
        <v>138</v>
      </c>
      <c r="G7" s="15" t="s">
        <v>139</v>
      </c>
      <c r="H7" s="15" t="s">
        <v>140</v>
      </c>
    </row>
    <row r="8" spans="2:8" x14ac:dyDescent="0.4">
      <c r="B8" s="16" t="s">
        <v>141</v>
      </c>
      <c r="C8" s="23">
        <v>85000</v>
      </c>
      <c r="D8" s="20">
        <v>80</v>
      </c>
      <c r="E8" s="24">
        <f>C8*D8</f>
        <v>6800000</v>
      </c>
      <c r="G8" s="16" t="s">
        <v>141</v>
      </c>
      <c r="H8" s="24">
        <v>85000</v>
      </c>
    </row>
    <row r="9" spans="2:8" x14ac:dyDescent="0.4">
      <c r="B9" s="16" t="s">
        <v>142</v>
      </c>
      <c r="C9" s="23">
        <v>150000</v>
      </c>
      <c r="D9" s="20">
        <v>50</v>
      </c>
      <c r="E9" s="24">
        <f>C9*D9</f>
        <v>7500000</v>
      </c>
      <c r="G9" s="16" t="s">
        <v>143</v>
      </c>
      <c r="H9" s="24">
        <v>125000</v>
      </c>
    </row>
    <row r="10" spans="2:8" x14ac:dyDescent="0.4">
      <c r="B10" s="16" t="s">
        <v>144</v>
      </c>
      <c r="C10" s="23">
        <v>125000</v>
      </c>
      <c r="D10" s="20">
        <v>70</v>
      </c>
      <c r="E10" s="24">
        <f>C10*D10</f>
        <v>8750000</v>
      </c>
      <c r="G10" s="16" t="s">
        <v>145</v>
      </c>
      <c r="H10" s="24">
        <v>150000</v>
      </c>
    </row>
    <row r="11" spans="2:8" x14ac:dyDescent="0.4">
      <c r="B11" s="16" t="s">
        <v>146</v>
      </c>
      <c r="C11" s="23">
        <v>500000</v>
      </c>
      <c r="D11" s="20">
        <v>3</v>
      </c>
      <c r="E11" s="24">
        <f>C11*D11</f>
        <v>1500000</v>
      </c>
      <c r="G11" s="16" t="s">
        <v>147</v>
      </c>
      <c r="H11" s="24">
        <v>500000</v>
      </c>
    </row>
    <row r="12" spans="2:8" x14ac:dyDescent="0.4">
      <c r="B12" s="25" t="s">
        <v>148</v>
      </c>
      <c r="E12" s="28">
        <f>SUM(E8:E11)</f>
        <v>24550000</v>
      </c>
    </row>
    <row r="13" spans="2:8" ht="15.75" customHeight="1" x14ac:dyDescent="0.4">
      <c r="B13" s="16" t="s">
        <v>149</v>
      </c>
      <c r="C13" s="23">
        <v>3000</v>
      </c>
      <c r="D13" s="38">
        <v>2200</v>
      </c>
      <c r="E13" s="24">
        <f>C13*D13</f>
        <v>6600000</v>
      </c>
      <c r="G13" s="54" t="s">
        <v>150</v>
      </c>
      <c r="H13" s="54"/>
    </row>
    <row r="14" spans="2:8" ht="15.75" customHeight="1" x14ac:dyDescent="0.4">
      <c r="B14" s="25" t="s">
        <v>151</v>
      </c>
      <c r="E14" s="28">
        <f>E12+E13</f>
        <v>31150000</v>
      </c>
      <c r="G14" s="54"/>
      <c r="H14" s="54"/>
    </row>
    <row r="15" spans="2:8" ht="15.75" customHeight="1" x14ac:dyDescent="0.4">
      <c r="B15" s="16" t="s">
        <v>152</v>
      </c>
      <c r="C15" s="22">
        <v>0.18</v>
      </c>
      <c r="E15" s="24">
        <f>E14*C15</f>
        <v>5607000</v>
      </c>
      <c r="G15" s="54"/>
      <c r="H15" s="54"/>
    </row>
    <row r="16" spans="2:8" ht="15.75" customHeight="1" x14ac:dyDescent="0.4">
      <c r="B16" s="16" t="s">
        <v>153</v>
      </c>
      <c r="E16" s="23">
        <v>1500000</v>
      </c>
      <c r="G16" s="54"/>
      <c r="H16" s="54"/>
    </row>
    <row r="17" spans="2:8" ht="15.75" customHeight="1" x14ac:dyDescent="0.4">
      <c r="G17" s="54"/>
      <c r="H17" s="54"/>
    </row>
    <row r="18" spans="2:8" ht="15.75" customHeight="1" x14ac:dyDescent="0.4">
      <c r="B18" s="55" t="s">
        <v>154</v>
      </c>
      <c r="C18" s="55"/>
      <c r="D18" s="55"/>
      <c r="E18" s="32">
        <f>E14+E15+E16</f>
        <v>38257000</v>
      </c>
      <c r="G18" s="54"/>
      <c r="H18" s="54"/>
    </row>
    <row r="20" spans="2:8" x14ac:dyDescent="0.4">
      <c r="B20" s="39" t="s">
        <v>155</v>
      </c>
    </row>
    <row r="21" spans="2:8" x14ac:dyDescent="0.4">
      <c r="B21" s="39" t="s">
        <v>156</v>
      </c>
    </row>
    <row r="22" spans="2:8" x14ac:dyDescent="0.4">
      <c r="B22" s="39" t="s">
        <v>157</v>
      </c>
    </row>
    <row r="23" spans="2:8" x14ac:dyDescent="0.4">
      <c r="B23" s="39" t="s">
        <v>158</v>
      </c>
    </row>
  </sheetData>
  <mergeCells count="7">
    <mergeCell ref="G13:H18"/>
    <mergeCell ref="B18:D18"/>
    <mergeCell ref="B1:H2"/>
    <mergeCell ref="B3:H3"/>
    <mergeCell ref="B4:H4"/>
    <mergeCell ref="B6:E6"/>
    <mergeCell ref="G6:H6"/>
  </mergeCells>
  <pageMargins left="0.3" right="0.3" top="0.4" bottom="0.4" header="0.511811023622047" footer="0.511811023622047"/>
  <pageSetup paperSize="8" fitToHeight="0" orientation="landscape" horizontalDpi="300" verticalDpi="300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808080"/>
    <pageSetUpPr fitToPage="1"/>
  </sheetPr>
  <dimension ref="B1:E39"/>
  <sheetViews>
    <sheetView showGridLines="0" tabSelected="1" zoomScaleNormal="100" workbookViewId="0">
      <pane xSplit="1" ySplit="5" topLeftCell="B27" activePane="bottomRight" state="frozen"/>
      <selection pane="topRight" activeCell="B1" sqref="B1"/>
      <selection pane="bottomLeft" activeCell="A6" sqref="A6"/>
      <selection pane="bottomRight"/>
    </sheetView>
  </sheetViews>
  <sheetFormatPr defaultColWidth="8.69140625" defaultRowHeight="14.6" x14ac:dyDescent="0.4"/>
  <cols>
    <col min="1" max="1" width="2.4609375" customWidth="1"/>
    <col min="2" max="2" width="30" customWidth="1"/>
    <col min="3" max="3" width="16" customWidth="1"/>
    <col min="4" max="4" width="46" customWidth="1"/>
    <col min="5" max="5" width="58" customWidth="1"/>
    <col min="6" max="6" width="2.4609375" customWidth="1"/>
  </cols>
  <sheetData>
    <row r="1" spans="2:5" ht="24" customHeight="1" x14ac:dyDescent="0.4">
      <c r="B1" s="53" t="s">
        <v>159</v>
      </c>
      <c r="C1" s="53"/>
      <c r="D1" s="53"/>
      <c r="E1" s="53"/>
    </row>
    <row r="2" spans="2:5" ht="24" customHeight="1" x14ac:dyDescent="0.4">
      <c r="B2" s="53"/>
      <c r="C2" s="53"/>
      <c r="D2" s="53"/>
      <c r="E2" s="53"/>
    </row>
    <row r="3" spans="2:5" ht="18" customHeight="1" x14ac:dyDescent="0.4">
      <c r="B3" s="56" t="s">
        <v>160</v>
      </c>
      <c r="C3" s="56"/>
      <c r="D3" s="56"/>
      <c r="E3" s="56"/>
    </row>
    <row r="4" spans="2:5" ht="7.5" customHeight="1" x14ac:dyDescent="0.4"/>
    <row r="5" spans="2:5" ht="15.75" customHeight="1" x14ac:dyDescent="0.4">
      <c r="B5" s="15" t="s">
        <v>161</v>
      </c>
      <c r="C5" s="15" t="s">
        <v>162</v>
      </c>
      <c r="D5" s="19" t="s">
        <v>163</v>
      </c>
      <c r="E5" s="19" t="s">
        <v>164</v>
      </c>
    </row>
    <row r="6" spans="2:5" ht="18" customHeight="1" x14ac:dyDescent="0.4">
      <c r="B6" s="49" t="s">
        <v>165</v>
      </c>
      <c r="C6" s="49"/>
      <c r="D6" s="49"/>
      <c r="E6" s="49"/>
    </row>
    <row r="7" spans="2:5" ht="31.5" customHeight="1" x14ac:dyDescent="0.4">
      <c r="B7" s="35" t="s">
        <v>166</v>
      </c>
      <c r="C7" s="40" t="s">
        <v>167</v>
      </c>
      <c r="D7" s="41" t="s">
        <v>168</v>
      </c>
      <c r="E7" s="42" t="s">
        <v>169</v>
      </c>
    </row>
    <row r="8" spans="2:5" ht="31.5" customHeight="1" x14ac:dyDescent="0.4">
      <c r="B8" s="35" t="s">
        <v>170</v>
      </c>
      <c r="C8" s="40" t="s">
        <v>171</v>
      </c>
      <c r="D8" s="41" t="s">
        <v>172</v>
      </c>
      <c r="E8" s="42" t="s">
        <v>173</v>
      </c>
    </row>
    <row r="9" spans="2:5" ht="31.5" customHeight="1" x14ac:dyDescent="0.4">
      <c r="B9" s="35" t="s">
        <v>174</v>
      </c>
      <c r="C9" s="40" t="s">
        <v>175</v>
      </c>
      <c r="D9" s="41" t="s">
        <v>176</v>
      </c>
      <c r="E9" s="42" t="s">
        <v>169</v>
      </c>
    </row>
    <row r="10" spans="2:5" ht="31.5" customHeight="1" x14ac:dyDescent="0.4">
      <c r="B10" s="35" t="s">
        <v>177</v>
      </c>
      <c r="C10" s="40" t="s">
        <v>178</v>
      </c>
      <c r="D10" s="41" t="s">
        <v>179</v>
      </c>
      <c r="E10" s="42" t="s">
        <v>180</v>
      </c>
    </row>
    <row r="11" spans="2:5" ht="31.5" customHeight="1" x14ac:dyDescent="0.4">
      <c r="B11" s="35" t="s">
        <v>181</v>
      </c>
      <c r="C11" s="40" t="s">
        <v>182</v>
      </c>
      <c r="D11" s="41" t="s">
        <v>183</v>
      </c>
      <c r="E11" s="42" t="s">
        <v>184</v>
      </c>
    </row>
    <row r="12" spans="2:5" ht="31.5" customHeight="1" x14ac:dyDescent="0.4">
      <c r="B12" s="35" t="s">
        <v>185</v>
      </c>
      <c r="C12" s="40" t="s">
        <v>186</v>
      </c>
      <c r="D12" s="41" t="s">
        <v>187</v>
      </c>
      <c r="E12" s="42" t="s">
        <v>188</v>
      </c>
    </row>
    <row r="13" spans="2:5" ht="31.5" customHeight="1" x14ac:dyDescent="0.4">
      <c r="B13" s="35" t="s">
        <v>189</v>
      </c>
      <c r="C13" s="40" t="s">
        <v>190</v>
      </c>
      <c r="D13" s="41" t="s">
        <v>191</v>
      </c>
      <c r="E13" s="42" t="s">
        <v>192</v>
      </c>
    </row>
    <row r="14" spans="2:5" ht="31.5" customHeight="1" x14ac:dyDescent="0.4">
      <c r="B14" s="35" t="s">
        <v>193</v>
      </c>
      <c r="C14" s="40" t="s">
        <v>194</v>
      </c>
      <c r="D14" s="41" t="s">
        <v>195</v>
      </c>
      <c r="E14" s="42" t="s">
        <v>196</v>
      </c>
    </row>
    <row r="15" spans="2:5" ht="18" customHeight="1" x14ac:dyDescent="0.4">
      <c r="B15" s="49" t="s">
        <v>197</v>
      </c>
      <c r="C15" s="49"/>
      <c r="D15" s="49"/>
      <c r="E15" s="49"/>
    </row>
    <row r="16" spans="2:5" ht="31.5" customHeight="1" x14ac:dyDescent="0.4">
      <c r="B16" s="35" t="s">
        <v>198</v>
      </c>
      <c r="C16" s="40" t="s">
        <v>199</v>
      </c>
      <c r="D16" s="41" t="s">
        <v>200</v>
      </c>
      <c r="E16" s="42" t="s">
        <v>201</v>
      </c>
    </row>
    <row r="17" spans="2:5" ht="31.5" customHeight="1" x14ac:dyDescent="0.4">
      <c r="B17" s="35" t="s">
        <v>202</v>
      </c>
      <c r="C17" s="40" t="s">
        <v>203</v>
      </c>
      <c r="D17" s="41" t="s">
        <v>204</v>
      </c>
      <c r="E17" s="42" t="s">
        <v>205</v>
      </c>
    </row>
    <row r="18" spans="2:5" ht="31.5" customHeight="1" x14ac:dyDescent="0.4">
      <c r="B18" s="35" t="s">
        <v>206</v>
      </c>
      <c r="C18" s="40" t="s">
        <v>207</v>
      </c>
      <c r="D18" s="41" t="s">
        <v>208</v>
      </c>
      <c r="E18" s="42" t="s">
        <v>209</v>
      </c>
    </row>
    <row r="19" spans="2:5" ht="18" customHeight="1" x14ac:dyDescent="0.4">
      <c r="B19" s="49" t="s">
        <v>210</v>
      </c>
      <c r="C19" s="49"/>
      <c r="D19" s="49"/>
      <c r="E19" s="49"/>
    </row>
    <row r="20" spans="2:5" ht="31.5" customHeight="1" x14ac:dyDescent="0.4">
      <c r="B20" s="35" t="s">
        <v>211</v>
      </c>
      <c r="C20" s="40" t="s">
        <v>212</v>
      </c>
      <c r="D20" s="41" t="s">
        <v>213</v>
      </c>
      <c r="E20" s="42" t="s">
        <v>214</v>
      </c>
    </row>
    <row r="21" spans="2:5" ht="31.5" customHeight="1" x14ac:dyDescent="0.4">
      <c r="B21" s="35" t="s">
        <v>215</v>
      </c>
      <c r="C21" s="40" t="s">
        <v>216</v>
      </c>
      <c r="D21" s="41" t="s">
        <v>217</v>
      </c>
      <c r="E21" s="42" t="s">
        <v>218</v>
      </c>
    </row>
    <row r="22" spans="2:5" ht="18" customHeight="1" x14ac:dyDescent="0.4">
      <c r="B22" s="49" t="s">
        <v>219</v>
      </c>
      <c r="C22" s="49"/>
      <c r="D22" s="49"/>
      <c r="E22" s="49"/>
    </row>
    <row r="23" spans="2:5" ht="31.5" customHeight="1" x14ac:dyDescent="0.4">
      <c r="B23" s="35" t="s">
        <v>220</v>
      </c>
      <c r="C23" s="40" t="s">
        <v>221</v>
      </c>
      <c r="D23" s="41" t="s">
        <v>222</v>
      </c>
      <c r="E23" s="42" t="s">
        <v>223</v>
      </c>
    </row>
    <row r="24" spans="2:5" ht="31.5" customHeight="1" x14ac:dyDescent="0.4">
      <c r="B24" s="35" t="s">
        <v>224</v>
      </c>
      <c r="C24" s="40" t="s">
        <v>225</v>
      </c>
      <c r="D24" s="41" t="s">
        <v>226</v>
      </c>
      <c r="E24" s="42" t="s">
        <v>227</v>
      </c>
    </row>
    <row r="25" spans="2:5" ht="31.5" customHeight="1" x14ac:dyDescent="0.4">
      <c r="B25" s="35" t="s">
        <v>228</v>
      </c>
      <c r="C25" s="40" t="s">
        <v>229</v>
      </c>
      <c r="D25" s="41" t="s">
        <v>230</v>
      </c>
      <c r="E25" s="42" t="s">
        <v>231</v>
      </c>
    </row>
    <row r="26" spans="2:5" ht="31.5" customHeight="1" x14ac:dyDescent="0.4">
      <c r="B26" s="35" t="s">
        <v>232</v>
      </c>
      <c r="C26" s="40" t="s">
        <v>233</v>
      </c>
      <c r="D26" s="41" t="s">
        <v>234</v>
      </c>
      <c r="E26" s="42" t="s">
        <v>235</v>
      </c>
    </row>
    <row r="27" spans="2:5" ht="18" customHeight="1" x14ac:dyDescent="0.4">
      <c r="B27" s="49" t="s">
        <v>236</v>
      </c>
      <c r="C27" s="49"/>
      <c r="D27" s="49"/>
      <c r="E27" s="49"/>
    </row>
    <row r="28" spans="2:5" ht="31.5" customHeight="1" x14ac:dyDescent="0.4">
      <c r="B28" s="35" t="s">
        <v>237</v>
      </c>
      <c r="C28" s="40" t="s">
        <v>238</v>
      </c>
      <c r="D28" s="41" t="s">
        <v>239</v>
      </c>
      <c r="E28" s="42" t="s">
        <v>240</v>
      </c>
    </row>
    <row r="29" spans="2:5" ht="31.5" customHeight="1" x14ac:dyDescent="0.4">
      <c r="B29" s="35" t="s">
        <v>241</v>
      </c>
      <c r="C29" s="40" t="s">
        <v>242</v>
      </c>
      <c r="D29" s="41" t="s">
        <v>243</v>
      </c>
      <c r="E29" s="42" t="s">
        <v>244</v>
      </c>
    </row>
    <row r="30" spans="2:5" ht="31.5" customHeight="1" x14ac:dyDescent="0.4">
      <c r="B30" s="35" t="s">
        <v>245</v>
      </c>
      <c r="C30" s="40" t="s">
        <v>246</v>
      </c>
      <c r="D30" s="41" t="s">
        <v>247</v>
      </c>
      <c r="E30" s="42" t="s">
        <v>248</v>
      </c>
    </row>
    <row r="31" spans="2:5" ht="31.5" customHeight="1" x14ac:dyDescent="0.4">
      <c r="B31" s="35" t="s">
        <v>249</v>
      </c>
      <c r="C31" s="40" t="s">
        <v>250</v>
      </c>
      <c r="D31" s="41" t="s">
        <v>251</v>
      </c>
      <c r="E31" s="42" t="s">
        <v>169</v>
      </c>
    </row>
    <row r="32" spans="2:5" ht="18" customHeight="1" x14ac:dyDescent="0.4">
      <c r="B32" s="49" t="s">
        <v>252</v>
      </c>
      <c r="C32" s="49"/>
      <c r="D32" s="49"/>
      <c r="E32" s="49"/>
    </row>
    <row r="33" spans="2:5" ht="31.5" customHeight="1" x14ac:dyDescent="0.4">
      <c r="B33" s="35" t="s">
        <v>253</v>
      </c>
      <c r="C33" s="40" t="s">
        <v>254</v>
      </c>
      <c r="D33" s="41" t="s">
        <v>255</v>
      </c>
      <c r="E33" s="42" t="s">
        <v>256</v>
      </c>
    </row>
    <row r="34" spans="2:5" ht="31.5" customHeight="1" x14ac:dyDescent="0.4">
      <c r="B34" s="35" t="s">
        <v>257</v>
      </c>
      <c r="C34" s="40" t="s">
        <v>258</v>
      </c>
      <c r="D34" s="41" t="s">
        <v>259</v>
      </c>
      <c r="E34" s="42" t="s">
        <v>260</v>
      </c>
    </row>
    <row r="35" spans="2:5" ht="31.5" customHeight="1" x14ac:dyDescent="0.4">
      <c r="B35" s="35" t="s">
        <v>261</v>
      </c>
      <c r="C35" s="40" t="s">
        <v>262</v>
      </c>
      <c r="D35" s="41" t="s">
        <v>263</v>
      </c>
      <c r="E35" s="42" t="s">
        <v>264</v>
      </c>
    </row>
    <row r="36" spans="2:5" ht="31.5" customHeight="1" x14ac:dyDescent="0.4">
      <c r="B36" s="35" t="s">
        <v>265</v>
      </c>
      <c r="C36" s="40" t="s">
        <v>266</v>
      </c>
      <c r="D36" s="41" t="s">
        <v>267</v>
      </c>
      <c r="E36" s="42" t="s">
        <v>268</v>
      </c>
    </row>
    <row r="37" spans="2:5" ht="31.5" customHeight="1" x14ac:dyDescent="0.4">
      <c r="B37" s="35" t="s">
        <v>269</v>
      </c>
      <c r="C37" s="40" t="s">
        <v>270</v>
      </c>
      <c r="D37" s="41" t="s">
        <v>271</v>
      </c>
      <c r="E37" s="42" t="s">
        <v>169</v>
      </c>
    </row>
    <row r="39" spans="2:5" ht="24" customHeight="1" x14ac:dyDescent="0.4">
      <c r="B39" s="52" t="s">
        <v>272</v>
      </c>
      <c r="C39" s="52"/>
      <c r="D39" s="52"/>
      <c r="E39" s="52"/>
    </row>
  </sheetData>
  <mergeCells count="9">
    <mergeCell ref="B22:E22"/>
    <mergeCell ref="B27:E27"/>
    <mergeCell ref="B32:E32"/>
    <mergeCell ref="B39:E39"/>
    <mergeCell ref="B1:E2"/>
    <mergeCell ref="B3:E3"/>
    <mergeCell ref="B6:E6"/>
    <mergeCell ref="B15:E15"/>
    <mergeCell ref="B19:E19"/>
  </mergeCells>
  <pageMargins left="0.3" right="0.3" top="0.4" bottom="0.4" header="0.511811023622047" footer="0.511811023622047"/>
  <pageSetup paperSize="8" fitToHeight="0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4</vt:i4>
      </vt:variant>
    </vt:vector>
  </HeadingPairs>
  <TitlesOfParts>
    <vt:vector size="8" baseType="lpstr">
      <vt:lpstr>Dashboard</vt:lpstr>
      <vt:lpstr>ROI Calculation</vt:lpstr>
      <vt:lpstr>Investment</vt:lpstr>
      <vt:lpstr>Assumptions &amp; Sources</vt:lpstr>
      <vt:lpstr>'Assumptions &amp; Sources'!Print_Area</vt:lpstr>
      <vt:lpstr>Dashboard!Print_Area</vt:lpstr>
      <vt:lpstr>Investment!Print_Area</vt:lpstr>
      <vt:lpstr>'ROI Calculation'!Print_Area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ASUS</cp:lastModifiedBy>
  <cp:revision>1</cp:revision>
  <dcterms:created xsi:type="dcterms:W3CDTF">2026-08-11T07:17:01Z</dcterms:created>
  <dcterms:modified xsi:type="dcterms:W3CDTF">2026-08-11T07:17:53Z</dcterms:modified>
  <dc:language>en-US</dc:language>
</cp:coreProperties>
</file>